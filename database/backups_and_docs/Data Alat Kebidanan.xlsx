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keseluruhan" sheetId="1" r:id="rId4"/>
    <sheet state="visible" name="Per stase" sheetId="2" r:id="rId5"/>
  </sheets>
  <definedNames/>
  <calcPr/>
  <extLst>
    <ext uri="GoogleSheetsCustomDataVersion2">
      <go:sheetsCustomData xmlns:go="http://customooxmlschemas.google.com/" r:id="rId6" roundtripDataChecksum="6XPFBC2Rs8uPJXVNa/+knF6FHxGg3ANiyQ4u47IBcF0="/>
    </ext>
  </extLst>
</workbook>
</file>

<file path=xl/sharedStrings.xml><?xml version="1.0" encoding="utf-8"?>
<sst xmlns="http://schemas.openxmlformats.org/spreadsheetml/2006/main" count="847" uniqueCount="616">
  <si>
    <t>DATA ALAT KEBIDANAN</t>
  </si>
  <si>
    <t>Alat - alat</t>
  </si>
  <si>
    <t>Biomedis</t>
  </si>
  <si>
    <t>UKS</t>
  </si>
  <si>
    <t>Kdk</t>
  </si>
  <si>
    <t>Komunitas</t>
  </si>
  <si>
    <t>BHP</t>
  </si>
  <si>
    <t>Istrumen</t>
  </si>
  <si>
    <t>NO</t>
  </si>
  <si>
    <t>Keterangan Alat-Alat</t>
  </si>
  <si>
    <t>Jumlah</t>
  </si>
  <si>
    <t>Keterangan Alat</t>
  </si>
  <si>
    <t>Keterangan alat</t>
  </si>
  <si>
    <t>No</t>
  </si>
  <si>
    <t>1.</t>
  </si>
  <si>
    <t>Sampiran/Gorden</t>
  </si>
  <si>
    <t>Lemari</t>
  </si>
  <si>
    <t>Kasur</t>
  </si>
  <si>
    <t>Perlak besar</t>
  </si>
  <si>
    <t>Bangku</t>
  </si>
  <si>
    <t>Spuit 5ML</t>
  </si>
  <si>
    <t>½ kocher</t>
  </si>
  <si>
    <t>2.</t>
  </si>
  <si>
    <t>Kain rainbow kecil</t>
  </si>
  <si>
    <t>Bangku meja</t>
  </si>
  <si>
    <t>Tangga</t>
  </si>
  <si>
    <t>Perlak sedang</t>
  </si>
  <si>
    <t>Meja</t>
  </si>
  <si>
    <t>Spuit 3ML</t>
  </si>
  <si>
    <t>Epis</t>
  </si>
  <si>
    <t>3.</t>
  </si>
  <si>
    <t>Kain Pembalut</t>
  </si>
  <si>
    <t>Kursi biru</t>
  </si>
  <si>
    <t>Trolly</t>
  </si>
  <si>
    <t>Perlak kecil</t>
  </si>
  <si>
    <t>Papan tulis</t>
  </si>
  <si>
    <t>Spuit 1ML</t>
  </si>
  <si>
    <t>Katetermetal</t>
  </si>
  <si>
    <t>4.</t>
  </si>
  <si>
    <t>Kain Jarik</t>
  </si>
  <si>
    <t>Mikroskop</t>
  </si>
  <si>
    <t>Tensi</t>
  </si>
  <si>
    <t>Perlak super kecil</t>
  </si>
  <si>
    <t>AC</t>
  </si>
  <si>
    <t>Abocath</t>
  </si>
  <si>
    <t>Pinset anatomis</t>
  </si>
  <si>
    <t>5.</t>
  </si>
  <si>
    <t>Kain bedong</t>
  </si>
  <si>
    <t>6.</t>
  </si>
  <si>
    <t>Stetoskop</t>
  </si>
  <si>
    <t>Phantom penis</t>
  </si>
  <si>
    <t>Layar proyektor</t>
  </si>
  <si>
    <t>Spuit 60ML</t>
  </si>
  <si>
    <t>Pinset cirugis</t>
  </si>
  <si>
    <t>Handuk bayi</t>
  </si>
  <si>
    <t>7.</t>
  </si>
  <si>
    <t>Tabung reaksi besar</t>
  </si>
  <si>
    <t>Sampiran</t>
  </si>
  <si>
    <t>Phantom penis kecil</t>
  </si>
  <si>
    <t>Kartu tes daya lihat</t>
  </si>
  <si>
    <t>Spuit 5ML (Steril)</t>
  </si>
  <si>
    <t>Needle holder ifuder</t>
  </si>
  <si>
    <t>Selimut rainbow</t>
  </si>
  <si>
    <t>8.</t>
  </si>
  <si>
    <t>Tabung reaksi kecil</t>
  </si>
  <si>
    <t>Kursi</t>
  </si>
  <si>
    <t>Phantom vagina</t>
  </si>
  <si>
    <t>Lembar balik (Kelas ibu hamil, balita, dll)</t>
  </si>
  <si>
    <t>Spuit 3ML (Steril)</t>
  </si>
  <si>
    <t>scaper</t>
  </si>
  <si>
    <t>Baju pasien</t>
  </si>
  <si>
    <t>9.</t>
  </si>
  <si>
    <t>Penjepit tabung</t>
  </si>
  <si>
    <t>Phantom plasenta</t>
  </si>
  <si>
    <t>Poster</t>
  </si>
  <si>
    <t>Abocath (Steril)</t>
  </si>
  <si>
    <t>Oligator</t>
  </si>
  <si>
    <t>Selimut bayi</t>
  </si>
  <si>
    <t>10.</t>
  </si>
  <si>
    <t>Pipet plastic</t>
  </si>
  <si>
    <t>Phantom bayi kecil</t>
  </si>
  <si>
    <t>Parto I</t>
  </si>
  <si>
    <t>Spuit 0,1 ML</t>
  </si>
  <si>
    <t>opa</t>
  </si>
  <si>
    <t>Korset</t>
  </si>
  <si>
    <t>11.</t>
  </si>
  <si>
    <t>Pipet kaca</t>
  </si>
  <si>
    <t>Patung tangan</t>
  </si>
  <si>
    <t>Parto II</t>
  </si>
  <si>
    <t>Spuit 0,05 ML</t>
  </si>
  <si>
    <t>Gunting tali pusat</t>
  </si>
  <si>
    <t>Safety box</t>
  </si>
  <si>
    <t>12.</t>
  </si>
  <si>
    <t>Beaker glass 500 ML</t>
  </si>
  <si>
    <t>Patung Wanita</t>
  </si>
  <si>
    <t>Spuit 0,3ML</t>
  </si>
  <si>
    <t>tenakulum</t>
  </si>
  <si>
    <t>Celemek Kain : 2</t>
  </si>
  <si>
    <t>13.</t>
  </si>
  <si>
    <t>Beaker glass 250 ML</t>
  </si>
  <si>
    <t>Kasa</t>
  </si>
  <si>
    <t>1tps</t>
  </si>
  <si>
    <t>Spuit 0,5ML</t>
  </si>
  <si>
    <t>Sonde</t>
  </si>
  <si>
    <t>Plastik : 2</t>
  </si>
  <si>
    <t>14.</t>
  </si>
  <si>
    <t>Beaker glass 100 ML</t>
  </si>
  <si>
    <t>Spuit giliserin</t>
  </si>
  <si>
    <t>Panser laem</t>
  </si>
  <si>
    <t>Ember</t>
  </si>
  <si>
    <t>15.</t>
  </si>
  <si>
    <t>Kaca glass 50 ML</t>
  </si>
  <si>
    <t>Selang huknah</t>
  </si>
  <si>
    <t>Needle 25G</t>
  </si>
  <si>
    <t>Klem pen bengkok besar</t>
  </si>
  <si>
    <t>Tong sampah</t>
  </si>
  <si>
    <t>16.</t>
  </si>
  <si>
    <t>Kaca glass 250 ML</t>
  </si>
  <si>
    <t>Gelas huknah</t>
  </si>
  <si>
    <t>Needle 23G</t>
  </si>
  <si>
    <t>Klem pen bengkok kecil</t>
  </si>
  <si>
    <t>Baskom Klorin 6</t>
  </si>
  <si>
    <t>17.</t>
  </si>
  <si>
    <t>Kaca glass 10 ML</t>
  </si>
  <si>
    <t>Stik huknah</t>
  </si>
  <si>
    <t>Maxiflow dewasa</t>
  </si>
  <si>
    <t>Korentang + tempat</t>
  </si>
  <si>
    <t>Baskom DTT 6</t>
  </si>
  <si>
    <t>18.</t>
  </si>
  <si>
    <t>Corong glass</t>
  </si>
  <si>
    <t>Toples kecil</t>
  </si>
  <si>
    <t>Selang oksigen</t>
  </si>
  <si>
    <t>Set implan</t>
  </si>
  <si>
    <t>Bak mandi bayi</t>
  </si>
  <si>
    <t>19.</t>
  </si>
  <si>
    <t>Gelas ukur 50 ML</t>
  </si>
  <si>
    <t>Korek</t>
  </si>
  <si>
    <t>Set infus</t>
  </si>
  <si>
    <t>Klem tali pusat</t>
  </si>
  <si>
    <t>Laci</t>
  </si>
  <si>
    <t>20.</t>
  </si>
  <si>
    <t>Gelas ukur 25 ML</t>
  </si>
  <si>
    <t>Surgical instrument kit</t>
  </si>
  <si>
    <t>Blood set</t>
  </si>
  <si>
    <t>IUD remufel hook</t>
  </si>
  <si>
    <t>Gelas</t>
  </si>
  <si>
    <t>21.</t>
  </si>
  <si>
    <t>Gelas ukur 10 ML</t>
  </si>
  <si>
    <t>Penampung urin</t>
  </si>
  <si>
    <t>Selang kateter</t>
  </si>
  <si>
    <t>Gunting benang biasa besar</t>
  </si>
  <si>
    <t>Phantom bayi</t>
  </si>
  <si>
    <t>22.</t>
  </si>
  <si>
    <t>Lampu spirtus</t>
  </si>
  <si>
    <t>Kapas utuh</t>
  </si>
  <si>
    <t>1Tas</t>
  </si>
  <si>
    <t>Urine bag</t>
  </si>
  <si>
    <t>Gunting benang biasa kecil</t>
  </si>
  <si>
    <t>Timbangan bayi</t>
  </si>
  <si>
    <t>23.</t>
  </si>
  <si>
    <t>Cairan spirtus</t>
  </si>
  <si>
    <t>Matras hitam</t>
  </si>
  <si>
    <t>Double spike</t>
  </si>
  <si>
    <t>Gunting UP hecting</t>
  </si>
  <si>
    <t>Timbangan dewasa</t>
  </si>
  <si>
    <t>24.</t>
  </si>
  <si>
    <t>Cawan dan alat penumbuk</t>
  </si>
  <si>
    <t>Phantom Hecting</t>
  </si>
  <si>
    <t>Mix 2 vial</t>
  </si>
  <si>
    <t>Vulkosa steril</t>
  </si>
  <si>
    <t>Handuk goodmorning</t>
  </si>
  <si>
    <t>25.</t>
  </si>
  <si>
    <t>Preparat set</t>
  </si>
  <si>
    <t>Phantom untuk dada bayi</t>
  </si>
  <si>
    <t>Handsinitizer besar</t>
  </si>
  <si>
    <t>Laken</t>
  </si>
  <si>
    <t>BH payudara</t>
  </si>
  <si>
    <t>26.</t>
  </si>
  <si>
    <t>Kaki tiga</t>
  </si>
  <si>
    <t>Besi putih</t>
  </si>
  <si>
    <t>Benedict reagen botol besar</t>
  </si>
  <si>
    <t>Stik laken</t>
  </si>
  <si>
    <t>Topi bayi</t>
  </si>
  <si>
    <t>27.</t>
  </si>
  <si>
    <t>Kaca pembesar</t>
  </si>
  <si>
    <t>Paperbag</t>
  </si>
  <si>
    <t>Benedict botol kecil</t>
  </si>
  <si>
    <t>Sarung bantal</t>
  </si>
  <si>
    <t>Sarung kaki bayi</t>
  </si>
  <si>
    <t>28.</t>
  </si>
  <si>
    <t>Cermin miscrosop</t>
  </si>
  <si>
    <t>Phantom panggul</t>
  </si>
  <si>
    <t>Asam asetat</t>
  </si>
  <si>
    <t>Sarung guling</t>
  </si>
  <si>
    <t>Sarung tangan bayi</t>
  </si>
  <si>
    <t>29.</t>
  </si>
  <si>
    <t>Lancing device</t>
  </si>
  <si>
    <t>Phantom NGT</t>
  </si>
  <si>
    <t>Baclyn</t>
  </si>
  <si>
    <t>Celana dalam ibu</t>
  </si>
  <si>
    <t>30.</t>
  </si>
  <si>
    <t>Microsope slides</t>
  </si>
  <si>
    <t>1bx</t>
  </si>
  <si>
    <t>Tas hitam</t>
  </si>
  <si>
    <t>Gelas kaca kecil</t>
  </si>
  <si>
    <t>Celana bayi</t>
  </si>
  <si>
    <t>31.</t>
  </si>
  <si>
    <t>Surgical blades</t>
  </si>
  <si>
    <t>Hanscoon</t>
  </si>
  <si>
    <t>Bedak</t>
  </si>
  <si>
    <t>Baju bayi</t>
  </si>
  <si>
    <t>32.</t>
  </si>
  <si>
    <t>PH</t>
  </si>
  <si>
    <t>Pembalut</t>
  </si>
  <si>
    <t>Popok</t>
  </si>
  <si>
    <t>33.</t>
  </si>
  <si>
    <t>Batang pengaduk</t>
  </si>
  <si>
    <t>Bantal</t>
  </si>
  <si>
    <t>Jelly</t>
  </si>
  <si>
    <t>Washlap</t>
  </si>
  <si>
    <t>34.</t>
  </si>
  <si>
    <t>Buret</t>
  </si>
  <si>
    <t>Handwash</t>
  </si>
  <si>
    <t>Duck putih</t>
  </si>
  <si>
    <t>35.</t>
  </si>
  <si>
    <t>Tabung reaksi tutup</t>
  </si>
  <si>
    <t>Kondom kateter</t>
  </si>
  <si>
    <t>Duck hijau</t>
  </si>
  <si>
    <t>Standar infus</t>
  </si>
  <si>
    <t>NGT selang</t>
  </si>
  <si>
    <t>Gurita ibu</t>
  </si>
  <si>
    <t>36.</t>
  </si>
  <si>
    <t>Mitella</t>
  </si>
  <si>
    <t>37.</t>
  </si>
  <si>
    <t>Kain hijau</t>
  </si>
  <si>
    <t>DPT combo</t>
  </si>
  <si>
    <t>Underpad</t>
  </si>
  <si>
    <t>IPV</t>
  </si>
  <si>
    <t>Boneka payudara</t>
  </si>
  <si>
    <t>Polio oral</t>
  </si>
  <si>
    <t>38.</t>
  </si>
  <si>
    <t>Semprotan DTT</t>
  </si>
  <si>
    <t>MR</t>
  </si>
  <si>
    <t>39.</t>
  </si>
  <si>
    <t>Suhu tembak</t>
  </si>
  <si>
    <t>BCG</t>
  </si>
  <si>
    <t>40.</t>
  </si>
  <si>
    <t>Suhu digital</t>
  </si>
  <si>
    <t>pvc</t>
  </si>
  <si>
    <t>41.</t>
  </si>
  <si>
    <t>Termo airaksa</t>
  </si>
  <si>
    <t>HB 0</t>
  </si>
  <si>
    <t>42.</t>
  </si>
  <si>
    <t>Metline</t>
  </si>
  <si>
    <t>Pelarut MR</t>
  </si>
  <si>
    <t>43.</t>
  </si>
  <si>
    <t>Penlight</t>
  </si>
  <si>
    <t>Spuit 1DUS 0,05</t>
  </si>
  <si>
    <t>1ds</t>
  </si>
  <si>
    <t>44.</t>
  </si>
  <si>
    <t>Patela</t>
  </si>
  <si>
    <t>HBSAG</t>
  </si>
  <si>
    <t>45.</t>
  </si>
  <si>
    <t>Tourniqwet</t>
  </si>
  <si>
    <t>46.</t>
  </si>
  <si>
    <t>Dili</t>
  </si>
  <si>
    <t>Tisu</t>
  </si>
  <si>
    <t>47.</t>
  </si>
  <si>
    <t>Senter kuning</t>
  </si>
  <si>
    <t>4ds(udh kpke)</t>
  </si>
  <si>
    <t>48.</t>
  </si>
  <si>
    <t>Pitalila</t>
  </si>
  <si>
    <t>Alkohol swabs 1dus</t>
  </si>
  <si>
    <t>49.</t>
  </si>
  <si>
    <t>Lancing</t>
  </si>
  <si>
    <t>Tespach</t>
  </si>
  <si>
    <t>1ds (udh</t>
  </si>
  <si>
    <t>50.</t>
  </si>
  <si>
    <t>Linec</t>
  </si>
  <si>
    <t>kpke)</t>
  </si>
  <si>
    <t>51.</t>
  </si>
  <si>
    <t>Handsaplas</t>
  </si>
  <si>
    <t>2ds (udh</t>
  </si>
  <si>
    <t>152.</t>
  </si>
  <si>
    <t>53.</t>
  </si>
  <si>
    <t>Pengukur TB</t>
  </si>
  <si>
    <t>Easytouch glukosa</t>
  </si>
  <si>
    <t>54.</t>
  </si>
  <si>
    <t>Dopler</t>
  </si>
  <si>
    <t>Easytouch HB</t>
  </si>
  <si>
    <t>55.</t>
  </si>
  <si>
    <t>Resuscitation</t>
  </si>
  <si>
    <t>Kasa steril</t>
  </si>
  <si>
    <t>56.</t>
  </si>
  <si>
    <t>Tensi Digital</t>
  </si>
  <si>
    <t>IUD</t>
  </si>
  <si>
    <t>57.</t>
  </si>
  <si>
    <t>Buku buta warna</t>
  </si>
  <si>
    <t>Botol kecil</t>
  </si>
  <si>
    <t>58.</t>
  </si>
  <si>
    <t>Softtex</t>
  </si>
  <si>
    <t>Easytouch asam urat</t>
  </si>
  <si>
    <t>59.</t>
  </si>
  <si>
    <t>Kacamata Google</t>
  </si>
  <si>
    <t>Mikropor</t>
  </si>
  <si>
    <t>60.</t>
  </si>
  <si>
    <t>GYM ball</t>
  </si>
  <si>
    <t>Hanscoon Panjang</t>
  </si>
  <si>
    <t>61.</t>
  </si>
  <si>
    <t>Kartu KB</t>
  </si>
  <si>
    <t>1pk</t>
  </si>
  <si>
    <t>62.</t>
  </si>
  <si>
    <t>Kom trolly</t>
  </si>
  <si>
    <t>Obat sub</t>
  </si>
  <si>
    <t>63.</t>
  </si>
  <si>
    <t>Phantom perut INC</t>
  </si>
  <si>
    <t>Tanda ibu hamil</t>
  </si>
  <si>
    <t>64.</t>
  </si>
  <si>
    <t>Phantom perut KB</t>
  </si>
  <si>
    <t>Kondom</t>
  </si>
  <si>
    <t>65.</t>
  </si>
  <si>
    <t>Phantom tangan</t>
  </si>
  <si>
    <t>Kartu golongan darah</t>
  </si>
  <si>
    <t>66.</t>
  </si>
  <si>
    <t>Plasenta</t>
  </si>
  <si>
    <t>Sugical Brush</t>
  </si>
  <si>
    <t>67.</t>
  </si>
  <si>
    <t>Trolly bayi</t>
  </si>
  <si>
    <t>Tisu gantung</t>
  </si>
  <si>
    <t>68.</t>
  </si>
  <si>
    <t>Lakmus</t>
  </si>
  <si>
    <t>69.</t>
  </si>
  <si>
    <t>Lancet</t>
  </si>
  <si>
    <t>70.</t>
  </si>
  <si>
    <t>Phantom akfeksia</t>
  </si>
  <si>
    <t>Obat diare (merit)</t>
  </si>
  <si>
    <t>71.</t>
  </si>
  <si>
    <t>Phantom ibu hamil</t>
  </si>
  <si>
    <t>Jelly MY</t>
  </si>
  <si>
    <t>72.</t>
  </si>
  <si>
    <t>Sepatu boots</t>
  </si>
  <si>
    <t>Jelly venty</t>
  </si>
  <si>
    <t>73.</t>
  </si>
  <si>
    <t>Lampu sorot</t>
  </si>
  <si>
    <t>Kayu putih</t>
  </si>
  <si>
    <t>74.</t>
  </si>
  <si>
    <t>Oksigen</t>
  </si>
  <si>
    <t>Hansaplas anti septic</t>
  </si>
  <si>
    <t>75.</t>
  </si>
  <si>
    <t>SDIDTK</t>
  </si>
  <si>
    <t>Water for injection</t>
  </si>
  <si>
    <t>76.</t>
  </si>
  <si>
    <t>Tiang infus</t>
  </si>
  <si>
    <t>Betadine</t>
  </si>
  <si>
    <t>77.</t>
  </si>
  <si>
    <t>Baby oil</t>
  </si>
  <si>
    <t>78.</t>
  </si>
  <si>
    <t>Linen kotor</t>
  </si>
  <si>
    <t>Metergin</t>
  </si>
  <si>
    <t>79.</t>
  </si>
  <si>
    <t>Tempat plasenta</t>
  </si>
  <si>
    <t>Lidocaine</t>
  </si>
  <si>
    <t>80.</t>
  </si>
  <si>
    <t>Kom kapas</t>
  </si>
  <si>
    <t>Accarbic acid</t>
  </si>
  <si>
    <t>81.</t>
  </si>
  <si>
    <t>Tutup kom kapas</t>
  </si>
  <si>
    <t>Vit K</t>
  </si>
  <si>
    <t>82.</t>
  </si>
  <si>
    <t>Bengkok</t>
  </si>
  <si>
    <t>Microbion</t>
  </si>
  <si>
    <t>1 ½</t>
  </si>
  <si>
    <t>83.</t>
  </si>
  <si>
    <t>Kom kecil</t>
  </si>
  <si>
    <t>Oksitosin</t>
  </si>
  <si>
    <t>84.</t>
  </si>
  <si>
    <t>Kom kecil banget</t>
  </si>
  <si>
    <t>Vit c</t>
  </si>
  <si>
    <t>85.</t>
  </si>
  <si>
    <t>Baki sedang</t>
  </si>
  <si>
    <t>Erian cetin</t>
  </si>
  <si>
    <t>86.</t>
  </si>
  <si>
    <t>Tutup baki sedang</t>
  </si>
  <si>
    <t>Stampel</t>
  </si>
  <si>
    <t>87.</t>
  </si>
  <si>
    <t>Baki besar</t>
  </si>
  <si>
    <t>Aquabides</t>
  </si>
  <si>
    <t>88.</t>
  </si>
  <si>
    <t>Tutup baki besar</t>
  </si>
  <si>
    <t>Gestin T1</t>
  </si>
  <si>
    <t>89.</t>
  </si>
  <si>
    <t>Baki kecil</t>
  </si>
  <si>
    <t>Andalan suntik KB</t>
  </si>
  <si>
    <t>90.</t>
  </si>
  <si>
    <t>Tutup baki kecil</t>
  </si>
  <si>
    <t>Hair lotion</t>
  </si>
  <si>
    <t>91.</t>
  </si>
  <si>
    <t>Toples plastic kecil</t>
  </si>
  <si>
    <t>92.</t>
  </si>
  <si>
    <t>Gunting epis</t>
  </si>
  <si>
    <t>Abocath putih</t>
  </si>
  <si>
    <t>93.</t>
  </si>
  <si>
    <t>Kateter metal</t>
  </si>
  <si>
    <t>94.</t>
  </si>
  <si>
    <t>Abocath hijau</t>
  </si>
  <si>
    <t>95.</t>
  </si>
  <si>
    <t>Abocath kuning</t>
  </si>
  <si>
    <t>96.</t>
  </si>
  <si>
    <t>Abocath ungu</t>
  </si>
  <si>
    <t>97.</t>
  </si>
  <si>
    <t>Sekapel</t>
  </si>
  <si>
    <t>Abocath biru</t>
  </si>
  <si>
    <t>98.</t>
  </si>
  <si>
    <t>Allgator</t>
  </si>
  <si>
    <t>Singgle nidle</t>
  </si>
  <si>
    <t>99.</t>
  </si>
  <si>
    <t>Opa</t>
  </si>
  <si>
    <t>Pct syirup</t>
  </si>
  <si>
    <t>100.</t>
  </si>
  <si>
    <t>Ramolit</t>
  </si>
  <si>
    <t>101.</t>
  </si>
  <si>
    <t>Tenaculum</t>
  </si>
  <si>
    <t>Amolodipine</t>
  </si>
  <si>
    <t>102.</t>
  </si>
  <si>
    <t>Sonaet</t>
  </si>
  <si>
    <t>Nacl besar</t>
  </si>
  <si>
    <t>103.</t>
  </si>
  <si>
    <t>nacl kecil</t>
  </si>
  <si>
    <t>104.</t>
  </si>
  <si>
    <t>Dexrase</t>
  </si>
  <si>
    <t>105.</t>
  </si>
  <si>
    <t>Tablet tambah darah</t>
  </si>
  <si>
    <t>106.</t>
  </si>
  <si>
    <t>Calcium lactate</t>
  </si>
  <si>
    <t>107.</t>
  </si>
  <si>
    <t>Set Impan</t>
  </si>
  <si>
    <t>Nesco lanaing delice</t>
  </si>
  <si>
    <t>108.</t>
  </si>
  <si>
    <t>OMz</t>
  </si>
  <si>
    <t>2lmbr</t>
  </si>
  <si>
    <t>109.</t>
  </si>
  <si>
    <t>Pct tablet</t>
  </si>
  <si>
    <t>110.</t>
  </si>
  <si>
    <t>Gunting benang besar</t>
  </si>
  <si>
    <t>RL</t>
  </si>
  <si>
    <t>111.</t>
  </si>
  <si>
    <t>Gunting bennag kecil</t>
  </si>
  <si>
    <t>Pispot</t>
  </si>
  <si>
    <t>112.</t>
  </si>
  <si>
    <t>Gunting up hecting</t>
  </si>
  <si>
    <t>Mylanta</t>
  </si>
  <si>
    <t>113.</t>
  </si>
  <si>
    <t>Kukusan steril</t>
  </si>
  <si>
    <t>Remifitril</t>
  </si>
  <si>
    <t>Mepenamil acid</t>
  </si>
  <si>
    <t>lmbr</t>
  </si>
  <si>
    <t>Ondan</t>
  </si>
  <si>
    <t>Intunal</t>
  </si>
  <si>
    <t>Cooling spray S</t>
  </si>
  <si>
    <t>Pispot BAB</t>
  </si>
  <si>
    <t>Kapas</t>
  </si>
  <si>
    <t>1tp</t>
  </si>
  <si>
    <t>Kertas aba</t>
  </si>
  <si>
    <t>kKapas iva tes</t>
  </si>
  <si>
    <t>Set tes darah</t>
  </si>
  <si>
    <t>Kolestrol</t>
  </si>
  <si>
    <t>phenenng</t>
  </si>
  <si>
    <t>Vaksimo sirup</t>
  </si>
  <si>
    <t>Farsifen</t>
  </si>
  <si>
    <t>Benang</t>
  </si>
  <si>
    <t>Jarum hecting</t>
  </si>
  <si>
    <t>Surgical blade</t>
  </si>
  <si>
    <t>Catgut</t>
  </si>
  <si>
    <t>kapas</t>
  </si>
  <si>
    <t>2tps</t>
  </si>
  <si>
    <t>lagi</t>
  </si>
  <si>
    <t>kalsium</t>
  </si>
  <si>
    <t>Ipi vit c</t>
  </si>
  <si>
    <t>MGS04</t>
  </si>
  <si>
    <t>Mefenamid acid</t>
  </si>
  <si>
    <t>PIL kb</t>
  </si>
  <si>
    <t>HYpafid</t>
  </si>
  <si>
    <t>Keterampilan dasar praktik kebidanan</t>
  </si>
  <si>
    <t>Antenatal Care</t>
  </si>
  <si>
    <t>Intranatal Care</t>
  </si>
  <si>
    <t>Post Natal Care</t>
  </si>
  <si>
    <t>Bayi Baru Lahir</t>
  </si>
  <si>
    <t>Bayi, Balita, Anak Pra Sekolah</t>
  </si>
  <si>
    <t>Konseling &amp; Pendidikan Kesehatan</t>
  </si>
  <si>
    <t>Pelayanan KB</t>
  </si>
  <si>
    <t>Kebidanan Komunitas</t>
  </si>
  <si>
    <t>Biomedik (anatomi, fisiologi, histologi, biokimia, mikrobilologi dan parasitologi/biologi reproduksi)</t>
  </si>
  <si>
    <t>Nama ALat/Peraga/Manekin</t>
  </si>
  <si>
    <t>Tempat tidur</t>
  </si>
  <si>
    <t>Tempat tidur Gynecologi</t>
  </si>
  <si>
    <t>Meja periksa</t>
  </si>
  <si>
    <t>Meja konseling</t>
  </si>
  <si>
    <t>manekin manusia / ibu hamil</t>
  </si>
  <si>
    <t>Phantom bayi resusitasi</t>
  </si>
  <si>
    <t>Phantom alat reproduksi pria</t>
  </si>
  <si>
    <t>Bak instrumen besar</t>
  </si>
  <si>
    <t>Tas alat peraga KIE</t>
  </si>
  <si>
    <t>Rak tabung</t>
  </si>
  <si>
    <t>Korentang</t>
  </si>
  <si>
    <t>Manekin abdomen</t>
  </si>
  <si>
    <t>Perlengkapan bayi ( Baju bayi. Topi Bayi, Bedongan, Popok, Sarung tangan kaki bayi )</t>
  </si>
  <si>
    <t>Set alat resusitasi</t>
  </si>
  <si>
    <t>Phantom alat reproduksi wanita</t>
  </si>
  <si>
    <t>bak instrumen sedang</t>
  </si>
  <si>
    <t>Lembar balik peran orang tua dan perkembangan remaja</t>
  </si>
  <si>
    <t>Tabung reaksi</t>
  </si>
  <si>
    <t>Tensimeter</t>
  </si>
  <si>
    <t>Baju Ibu</t>
  </si>
  <si>
    <t>Senter</t>
  </si>
  <si>
    <t>Deelee</t>
  </si>
  <si>
    <t>Lembar balik kespro</t>
  </si>
  <si>
    <t>Set KB implan</t>
  </si>
  <si>
    <t>Set ANC kit</t>
  </si>
  <si>
    <t>Burner</t>
  </si>
  <si>
    <t xml:space="preserve">Termometer axilla
</t>
  </si>
  <si>
    <t>Baju kangguru</t>
  </si>
  <si>
    <t>Obat-Obat MTBS</t>
  </si>
  <si>
    <t>Lembarbalik kesetaraan gender</t>
  </si>
  <si>
    <t>Phantom lengan implan</t>
  </si>
  <si>
    <t>Set Timbangan gantung</t>
  </si>
  <si>
    <t>Termometer oral</t>
  </si>
  <si>
    <t>Pengukur lingkar lengan atas</t>
  </si>
  <si>
    <t>Perlengkapan ibu ( Baju pasien, kain panjang, Handuk)</t>
  </si>
  <si>
    <t>Bngkok</t>
  </si>
  <si>
    <t>Alat tes SDIDTK</t>
  </si>
  <si>
    <t>Set KB iud</t>
  </si>
  <si>
    <t>Pipet kaca, plastik</t>
  </si>
  <si>
    <t>kaca 67, plastik3</t>
  </si>
  <si>
    <t>Termometer Rektal</t>
  </si>
  <si>
    <t>Perlengkapan bayi (Bedongan, handuk, Topi bayi)</t>
  </si>
  <si>
    <t>Perlengkapan Ibu (Gurita ibu, Celana dalam, Bra, Handuk)</t>
  </si>
  <si>
    <t>Metliyn</t>
  </si>
  <si>
    <t>Vaksin imunisasi</t>
  </si>
  <si>
    <t>Speekulum</t>
  </si>
  <si>
    <t>Bengkok stenless</t>
  </si>
  <si>
    <t>Perlak</t>
  </si>
  <si>
    <t>Kon kecil tertutup</t>
  </si>
  <si>
    <t>Gelas ukur 50ML, 25ML, 10ML</t>
  </si>
  <si>
    <t>4,3,4</t>
  </si>
  <si>
    <t>Metlyn</t>
  </si>
  <si>
    <t>Phantom mammae kain</t>
  </si>
  <si>
    <t>Termometer</t>
  </si>
  <si>
    <t>Duk steril.</t>
  </si>
  <si>
    <t>Laenec</t>
  </si>
  <si>
    <t>Set kb suntik</t>
  </si>
  <si>
    <t>Beaker glass 500ML,250ML,100ML</t>
  </si>
  <si>
    <t>Perlak Uk  1x 1.5 m</t>
  </si>
  <si>
    <t>Reflek hammer</t>
  </si>
  <si>
    <t>Set KB pil</t>
  </si>
  <si>
    <t>Perlak ukuran 2x 1,8m</t>
  </si>
  <si>
    <t>Bak Instrumen besar</t>
  </si>
  <si>
    <t>Kom tertutup</t>
  </si>
  <si>
    <t>Lembar balik konsling ABPK</t>
  </si>
  <si>
    <t>Labu ukur</t>
  </si>
  <si>
    <t>Handuk</t>
  </si>
  <si>
    <t>Bak instrumen</t>
  </si>
  <si>
    <t>Bak instrumen sedang</t>
  </si>
  <si>
    <t>Partus set ( 1/2 Kocher, Gunting episiotomy, Gunting tali pusat, Klem anatomi, Klem cirugis, Pinset anatomis, Gunting benang)</t>
  </si>
  <si>
    <t>Cawan</t>
  </si>
  <si>
    <t xml:space="preserve">Pengalas </t>
  </si>
  <si>
    <t>Pengukur HB</t>
  </si>
  <si>
    <t>Jarum kulit</t>
  </si>
  <si>
    <t>Mikroskop Binokuler</t>
  </si>
  <si>
    <t>Celemek</t>
  </si>
  <si>
    <t>ember</t>
  </si>
  <si>
    <t>jarum otot</t>
  </si>
  <si>
    <t>Object glass</t>
  </si>
  <si>
    <t>Tempat sampah</t>
  </si>
  <si>
    <t>Kaca pembesar/Lup</t>
  </si>
  <si>
    <t>Kom degan penutup</t>
  </si>
  <si>
    <t>Set Huknah</t>
  </si>
  <si>
    <t>Spuit gliserin</t>
  </si>
  <si>
    <t>Set perlengkapan mandi bayi</t>
  </si>
  <si>
    <t>Scort</t>
  </si>
  <si>
    <t>Torniqwet</t>
  </si>
  <si>
    <t>Bak instrumen kecil</t>
  </si>
  <si>
    <t>Phantom lengan</t>
  </si>
  <si>
    <t>phantom manual</t>
  </si>
  <si>
    <t>kacamata google</t>
  </si>
  <si>
    <t>Hecting set naldfuder</t>
  </si>
  <si>
    <t>Sepatu boot</t>
  </si>
  <si>
    <t>Hecting set Pinset cirugis</t>
  </si>
  <si>
    <t>Hecting set Pinset anatomis</t>
  </si>
  <si>
    <t>Gunting benang</t>
  </si>
  <si>
    <t>Tongue spatel</t>
  </si>
  <si>
    <t>Neadle/Jarum otot</t>
  </si>
  <si>
    <t>Neadle/Jarum Kulit</t>
  </si>
  <si>
    <t>Benang sulture Silk</t>
  </si>
  <si>
    <t>Kateter nelaton</t>
  </si>
  <si>
    <t>Kateter Foley</t>
  </si>
  <si>
    <t>Kom uk 7cm</t>
  </si>
  <si>
    <t>Kom uk 9cm</t>
  </si>
  <si>
    <t>Kom dengan penutup ukuran 8cm</t>
  </si>
  <si>
    <t>Kom dengan penutup dengan UK 12,5cm</t>
  </si>
  <si>
    <t>Micropore 0,5inc</t>
  </si>
  <si>
    <t>Picropore 1inc</t>
  </si>
  <si>
    <t>Hipafix</t>
  </si>
  <si>
    <t>Trolley</t>
  </si>
  <si>
    <t>washkom terolley ganda</t>
  </si>
  <si>
    <t>Tabung oksigen</t>
  </si>
  <si>
    <t>Regulator</t>
  </si>
  <si>
    <t>Nasal canule</t>
  </si>
  <si>
    <t>Masker oksigen</t>
  </si>
  <si>
    <t>Masker Oksigen</t>
  </si>
  <si>
    <t>Set baju bayi</t>
  </si>
  <si>
    <t>Sabun</t>
  </si>
  <si>
    <t>Baki</t>
  </si>
  <si>
    <t>Tromol uk24</t>
  </si>
  <si>
    <t xml:space="preserve">Timbangan berat badan </t>
  </si>
  <si>
    <t>Pengukur tinggi badan</t>
  </si>
  <si>
    <t>Tromol uk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</si>
</sst>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22.0"/>
      <color theme="1"/>
      <name val="Calibri"/>
    </font>
    <font>
      <sz val="11.0"/>
      <color theme="1"/>
      <name val="Calibri"/>
    </font>
    <font>
      <sz val="7.0"/>
      <color theme="1"/>
      <name val="Calibri"/>
    </font>
    <font/>
    <font>
      <sz val="11.0"/>
      <color rgb="FF000000"/>
      <name val="Calibri"/>
    </font>
    <font>
      <sz val="9.0"/>
      <color theme="1"/>
      <name val="Times New Roman"/>
    </font>
    <font>
      <sz val="11.0"/>
      <color rgb="FFFF0000"/>
      <name val="Calibri"/>
    </font>
    <font>
      <sz val="11.0"/>
      <color rgb="FFC00000"/>
      <name val="Calibri"/>
    </font>
    <font>
      <sz val="14.0"/>
      <color rgb="FFFF0000"/>
      <name val="Calibri"/>
    </font>
    <font>
      <sz val="18.0"/>
      <color rgb="FFFF0000"/>
      <name val="Calibri"/>
    </font>
    <font>
      <sz val="16.0"/>
      <color rgb="FFFF0000"/>
      <name val="Calibri"/>
    </font>
    <font>
      <b/>
      <sz val="9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0" fontId="9" numFmtId="0" xfId="0" applyFont="1"/>
    <xf borderId="0" fillId="0" fontId="10" numFmtId="0" xfId="0" applyFont="1"/>
    <xf borderId="0" fillId="0" fontId="11" numFmtId="0" xfId="0" applyFont="1"/>
    <xf borderId="5" fillId="0" fontId="1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7" fillId="0" fontId="4" numFmtId="0" xfId="0" applyBorder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9.14"/>
    <col customWidth="1" min="3" max="3" width="7.0"/>
    <col customWidth="1" min="4" max="4" width="23.14"/>
    <col customWidth="1" min="5" max="7" width="8.71"/>
    <col customWidth="1" min="8" max="8" width="7.0"/>
    <col customWidth="1" min="9" max="9" width="22.0"/>
    <col customWidth="1" min="10" max="12" width="8.71"/>
    <col customWidth="1" min="13" max="13" width="6.71"/>
    <col customWidth="1" min="14" max="14" width="16.57"/>
    <col customWidth="1" min="15" max="17" width="8.71"/>
    <col customWidth="1" min="18" max="18" width="6.86"/>
    <col customWidth="1" min="19" max="19" width="21.0"/>
    <col customWidth="1" min="20" max="22" width="8.71"/>
    <col customWidth="1" min="23" max="23" width="6.71"/>
    <col customWidth="1" min="24" max="24" width="20.0"/>
    <col customWidth="1" min="25" max="28" width="8.71"/>
    <col customWidth="1" min="29" max="29" width="19.86"/>
    <col customWidth="1" min="30" max="33" width="8.71"/>
    <col customWidth="1" min="34" max="34" width="18.71"/>
    <col customWidth="1" min="35" max="35" width="8.71"/>
  </cols>
  <sheetData>
    <row r="2">
      <c r="J2" s="1" t="s">
        <v>0</v>
      </c>
    </row>
    <row r="4">
      <c r="C4" s="2" t="s">
        <v>1</v>
      </c>
      <c r="H4" s="2" t="s">
        <v>2</v>
      </c>
      <c r="M4" s="2" t="s">
        <v>3</v>
      </c>
      <c r="R4" s="2" t="s">
        <v>4</v>
      </c>
      <c r="W4" s="2" t="s">
        <v>5</v>
      </c>
      <c r="AB4" s="2" t="s">
        <v>6</v>
      </c>
      <c r="AG4" s="2" t="s">
        <v>7</v>
      </c>
    </row>
    <row r="5">
      <c r="C5" s="3"/>
      <c r="H5" s="3"/>
      <c r="M5" s="3"/>
      <c r="R5" s="3"/>
      <c r="W5" s="3"/>
      <c r="AB5" s="3"/>
      <c r="AG5" s="3"/>
    </row>
    <row r="6" ht="45.75" customHeight="1">
      <c r="C6" s="4" t="s">
        <v>8</v>
      </c>
      <c r="D6" s="5" t="s">
        <v>9</v>
      </c>
      <c r="E6" s="6" t="s">
        <v>10</v>
      </c>
      <c r="H6" s="4" t="s">
        <v>8</v>
      </c>
      <c r="I6" s="5" t="s">
        <v>11</v>
      </c>
      <c r="J6" s="6" t="s">
        <v>10</v>
      </c>
      <c r="M6" s="4" t="s">
        <v>8</v>
      </c>
      <c r="N6" s="5" t="s">
        <v>12</v>
      </c>
      <c r="O6" s="6" t="s">
        <v>10</v>
      </c>
      <c r="R6" s="4" t="s">
        <v>8</v>
      </c>
      <c r="S6" s="5" t="s">
        <v>12</v>
      </c>
      <c r="T6" s="6" t="s">
        <v>10</v>
      </c>
      <c r="W6" s="4" t="s">
        <v>8</v>
      </c>
      <c r="X6" s="5" t="s">
        <v>12</v>
      </c>
      <c r="Y6" s="6" t="s">
        <v>10</v>
      </c>
      <c r="AB6" s="4" t="s">
        <v>8</v>
      </c>
      <c r="AC6" s="5" t="s">
        <v>12</v>
      </c>
      <c r="AD6" s="6" t="s">
        <v>10</v>
      </c>
      <c r="AG6" s="4" t="s">
        <v>13</v>
      </c>
      <c r="AH6" s="5" t="s">
        <v>12</v>
      </c>
      <c r="AI6" s="6" t="s">
        <v>10</v>
      </c>
    </row>
    <row r="7" ht="30.75" customHeight="1">
      <c r="C7" s="7" t="s">
        <v>14</v>
      </c>
      <c r="D7" s="8" t="s">
        <v>15</v>
      </c>
      <c r="E7" s="8">
        <v>19.0</v>
      </c>
      <c r="H7" s="7" t="s">
        <v>14</v>
      </c>
      <c r="I7" s="8" t="s">
        <v>16</v>
      </c>
      <c r="J7" s="8">
        <v>1.0</v>
      </c>
      <c r="M7" s="7" t="s">
        <v>14</v>
      </c>
      <c r="N7" s="8" t="s">
        <v>17</v>
      </c>
      <c r="O7" s="8">
        <v>3.0</v>
      </c>
      <c r="R7" s="7" t="s">
        <v>14</v>
      </c>
      <c r="S7" s="8" t="s">
        <v>18</v>
      </c>
      <c r="T7" s="8">
        <v>12.0</v>
      </c>
      <c r="W7" s="7" t="s">
        <v>14</v>
      </c>
      <c r="X7" s="8" t="s">
        <v>19</v>
      </c>
      <c r="Y7" s="8">
        <v>17.0</v>
      </c>
      <c r="AB7" s="7">
        <v>1.0</v>
      </c>
      <c r="AC7" s="8" t="s">
        <v>20</v>
      </c>
      <c r="AD7" s="8">
        <v>19.0</v>
      </c>
      <c r="AG7" s="7">
        <v>1.0</v>
      </c>
      <c r="AH7" s="8" t="s">
        <v>21</v>
      </c>
      <c r="AI7" s="8">
        <v>3.0</v>
      </c>
    </row>
    <row r="8" ht="30.75" customHeight="1">
      <c r="C8" s="7" t="s">
        <v>22</v>
      </c>
      <c r="D8" s="8" t="s">
        <v>23</v>
      </c>
      <c r="E8" s="8">
        <v>12.0</v>
      </c>
      <c r="H8" s="7" t="s">
        <v>22</v>
      </c>
      <c r="I8" s="8" t="s">
        <v>24</v>
      </c>
      <c r="J8" s="8">
        <v>9.0</v>
      </c>
      <c r="M8" s="7" t="s">
        <v>22</v>
      </c>
      <c r="N8" s="8" t="s">
        <v>25</v>
      </c>
      <c r="O8" s="8">
        <v>2.0</v>
      </c>
      <c r="R8" s="7" t="s">
        <v>22</v>
      </c>
      <c r="S8" s="8" t="s">
        <v>26</v>
      </c>
      <c r="T8" s="8">
        <v>10.0</v>
      </c>
      <c r="W8" s="7" t="s">
        <v>22</v>
      </c>
      <c r="X8" s="8" t="s">
        <v>27</v>
      </c>
      <c r="Y8" s="8">
        <v>1.0</v>
      </c>
      <c r="AB8" s="7">
        <v>2.0</v>
      </c>
      <c r="AC8" s="8" t="s">
        <v>28</v>
      </c>
      <c r="AD8" s="8">
        <v>25.0</v>
      </c>
      <c r="AG8" s="7">
        <v>2.0</v>
      </c>
      <c r="AH8" s="8" t="s">
        <v>29</v>
      </c>
      <c r="AI8" s="8">
        <v>3.0</v>
      </c>
    </row>
    <row r="9" ht="30.75" customHeight="1">
      <c r="C9" s="7" t="s">
        <v>30</v>
      </c>
      <c r="D9" s="8" t="s">
        <v>31</v>
      </c>
      <c r="E9" s="8">
        <v>5.0</v>
      </c>
      <c r="H9" s="7" t="s">
        <v>30</v>
      </c>
      <c r="I9" s="8" t="s">
        <v>32</v>
      </c>
      <c r="J9" s="8">
        <v>12.0</v>
      </c>
      <c r="M9" s="7" t="s">
        <v>30</v>
      </c>
      <c r="N9" s="8" t="s">
        <v>33</v>
      </c>
      <c r="O9" s="8">
        <v>1.0</v>
      </c>
      <c r="R9" s="7" t="s">
        <v>30</v>
      </c>
      <c r="S9" s="8" t="s">
        <v>34</v>
      </c>
      <c r="T9" s="8">
        <v>3.0</v>
      </c>
      <c r="W9" s="7" t="s">
        <v>30</v>
      </c>
      <c r="X9" s="8" t="s">
        <v>35</v>
      </c>
      <c r="Y9" s="8">
        <v>1.0</v>
      </c>
      <c r="AB9" s="7">
        <v>3.0</v>
      </c>
      <c r="AC9" s="8" t="s">
        <v>36</v>
      </c>
      <c r="AD9" s="8">
        <v>13.0</v>
      </c>
      <c r="AG9" s="7">
        <v>3.0</v>
      </c>
      <c r="AH9" s="8" t="s">
        <v>37</v>
      </c>
      <c r="AI9" s="8">
        <v>3.0</v>
      </c>
    </row>
    <row r="10">
      <c r="C10" s="7" t="s">
        <v>38</v>
      </c>
      <c r="D10" s="8" t="s">
        <v>39</v>
      </c>
      <c r="E10" s="8">
        <v>7.0</v>
      </c>
      <c r="H10" s="7" t="s">
        <v>38</v>
      </c>
      <c r="I10" s="8" t="s">
        <v>40</v>
      </c>
      <c r="J10" s="8">
        <v>15.0</v>
      </c>
      <c r="M10" s="7" t="s">
        <v>38</v>
      </c>
      <c r="N10" s="8" t="s">
        <v>41</v>
      </c>
      <c r="O10" s="8">
        <v>2.0</v>
      </c>
      <c r="R10" s="7" t="s">
        <v>38</v>
      </c>
      <c r="S10" s="8" t="s">
        <v>42</v>
      </c>
      <c r="T10" s="8">
        <v>7.0</v>
      </c>
      <c r="W10" s="7" t="s">
        <v>38</v>
      </c>
      <c r="X10" s="8" t="s">
        <v>43</v>
      </c>
      <c r="Y10" s="8">
        <v>2.0</v>
      </c>
      <c r="AB10" s="7">
        <v>4.0</v>
      </c>
      <c r="AC10" s="8" t="s">
        <v>44</v>
      </c>
      <c r="AD10" s="8">
        <v>2.0</v>
      </c>
      <c r="AG10" s="7">
        <v>4.0</v>
      </c>
      <c r="AH10" s="8" t="s">
        <v>45</v>
      </c>
      <c r="AI10" s="8">
        <v>4.0</v>
      </c>
    </row>
    <row r="11" ht="45.75" customHeight="1">
      <c r="C11" s="7" t="s">
        <v>46</v>
      </c>
      <c r="D11" s="8" t="s">
        <v>47</v>
      </c>
      <c r="E11" s="8">
        <v>9.0</v>
      </c>
      <c r="H11" s="7" t="s">
        <v>48</v>
      </c>
      <c r="I11" s="8" t="s">
        <v>27</v>
      </c>
      <c r="J11" s="8">
        <v>6.0</v>
      </c>
      <c r="M11" s="7" t="s">
        <v>46</v>
      </c>
      <c r="N11" s="8" t="s">
        <v>49</v>
      </c>
      <c r="O11" s="8">
        <v>1.0</v>
      </c>
      <c r="R11" s="7" t="s">
        <v>46</v>
      </c>
      <c r="S11" s="8" t="s">
        <v>50</v>
      </c>
      <c r="T11" s="8">
        <v>1.0</v>
      </c>
      <c r="W11" s="7" t="s">
        <v>46</v>
      </c>
      <c r="X11" s="8" t="s">
        <v>51</v>
      </c>
      <c r="Y11" s="8">
        <v>1.0</v>
      </c>
      <c r="AB11" s="7">
        <v>5.0</v>
      </c>
      <c r="AC11" s="8" t="s">
        <v>52</v>
      </c>
      <c r="AD11" s="8">
        <v>1.0</v>
      </c>
      <c r="AG11" s="7">
        <v>5.0</v>
      </c>
      <c r="AH11" s="8" t="s">
        <v>53</v>
      </c>
      <c r="AI11" s="8">
        <v>4.0</v>
      </c>
    </row>
    <row r="12" ht="30.75" customHeight="1">
      <c r="C12" s="7" t="s">
        <v>48</v>
      </c>
      <c r="D12" s="8" t="s">
        <v>54</v>
      </c>
      <c r="E12" s="8">
        <v>7.0</v>
      </c>
      <c r="H12" s="7" t="s">
        <v>55</v>
      </c>
      <c r="I12" s="8" t="s">
        <v>56</v>
      </c>
      <c r="J12" s="8">
        <v>67.0</v>
      </c>
      <c r="M12" s="7" t="s">
        <v>48</v>
      </c>
      <c r="N12" s="8" t="s">
        <v>57</v>
      </c>
      <c r="O12" s="8">
        <v>3.0</v>
      </c>
      <c r="R12" s="7" t="s">
        <v>48</v>
      </c>
      <c r="S12" s="8" t="s">
        <v>58</v>
      </c>
      <c r="T12" s="8">
        <v>1.0</v>
      </c>
      <c r="W12" s="7" t="s">
        <v>48</v>
      </c>
      <c r="X12" s="8" t="s">
        <v>59</v>
      </c>
      <c r="Y12" s="8">
        <v>1.0</v>
      </c>
      <c r="AB12" s="7">
        <v>6.0</v>
      </c>
      <c r="AC12" s="8" t="s">
        <v>60</v>
      </c>
      <c r="AD12" s="8">
        <v>5.0</v>
      </c>
      <c r="AG12" s="7">
        <v>6.0</v>
      </c>
      <c r="AH12" s="8" t="s">
        <v>61</v>
      </c>
      <c r="AI12" s="8">
        <v>4.0</v>
      </c>
    </row>
    <row r="13" ht="30.75" customHeight="1">
      <c r="C13" s="7" t="s">
        <v>55</v>
      </c>
      <c r="D13" s="8" t="s">
        <v>62</v>
      </c>
      <c r="E13" s="8">
        <v>7.0</v>
      </c>
      <c r="H13" s="7" t="s">
        <v>63</v>
      </c>
      <c r="I13" s="8" t="s">
        <v>64</v>
      </c>
      <c r="J13" s="8">
        <v>25.0</v>
      </c>
      <c r="M13" s="7" t="s">
        <v>55</v>
      </c>
      <c r="N13" s="8" t="s">
        <v>65</v>
      </c>
      <c r="O13" s="8">
        <v>3.0</v>
      </c>
      <c r="R13" s="7" t="s">
        <v>55</v>
      </c>
      <c r="S13" s="8" t="s">
        <v>66</v>
      </c>
      <c r="T13" s="8">
        <v>2.0</v>
      </c>
      <c r="W13" s="7" t="s">
        <v>55</v>
      </c>
      <c r="X13" s="8" t="s">
        <v>67</v>
      </c>
      <c r="Y13" s="8">
        <v>13.0</v>
      </c>
      <c r="AB13" s="7">
        <v>7.0</v>
      </c>
      <c r="AC13" s="8" t="s">
        <v>68</v>
      </c>
      <c r="AD13" s="8">
        <v>1.0</v>
      </c>
      <c r="AG13" s="7">
        <v>7.0</v>
      </c>
      <c r="AH13" s="8" t="s">
        <v>69</v>
      </c>
      <c r="AI13" s="8">
        <v>3.0</v>
      </c>
    </row>
    <row r="14" ht="30.75" customHeight="1">
      <c r="C14" s="7" t="s">
        <v>63</v>
      </c>
      <c r="D14" s="8" t="s">
        <v>70</v>
      </c>
      <c r="E14" s="8">
        <v>20.0</v>
      </c>
      <c r="H14" s="7" t="s">
        <v>71</v>
      </c>
      <c r="I14" s="8" t="s">
        <v>72</v>
      </c>
      <c r="J14" s="8">
        <v>7.0</v>
      </c>
      <c r="M14" s="7" t="s">
        <v>63</v>
      </c>
      <c r="N14" s="8" t="s">
        <v>16</v>
      </c>
      <c r="O14" s="8">
        <v>2.0</v>
      </c>
      <c r="R14" s="7" t="s">
        <v>63</v>
      </c>
      <c r="S14" s="8" t="s">
        <v>73</v>
      </c>
      <c r="T14" s="8">
        <v>1.0</v>
      </c>
      <c r="W14" s="7" t="s">
        <v>63</v>
      </c>
      <c r="X14" s="8" t="s">
        <v>74</v>
      </c>
      <c r="Y14" s="8">
        <v>12.0</v>
      </c>
      <c r="AB14" s="7">
        <v>8.0</v>
      </c>
      <c r="AC14" s="8" t="s">
        <v>75</v>
      </c>
      <c r="AD14" s="8">
        <v>2.0</v>
      </c>
      <c r="AG14" s="7">
        <v>8.0</v>
      </c>
      <c r="AH14" s="8" t="s">
        <v>76</v>
      </c>
      <c r="AI14" s="8">
        <v>1.0</v>
      </c>
    </row>
    <row r="15" ht="45.75" customHeight="1">
      <c r="C15" s="7" t="s">
        <v>71</v>
      </c>
      <c r="D15" s="8" t="s">
        <v>77</v>
      </c>
      <c r="E15" s="8">
        <v>1.0</v>
      </c>
      <c r="H15" s="7" t="s">
        <v>78</v>
      </c>
      <c r="I15" s="8" t="s">
        <v>79</v>
      </c>
      <c r="J15" s="8">
        <v>3.0</v>
      </c>
      <c r="M15" s="7" t="s">
        <v>71</v>
      </c>
      <c r="N15" s="8" t="s">
        <v>27</v>
      </c>
      <c r="O15" s="8">
        <v>1.0</v>
      </c>
      <c r="R15" s="7" t="s">
        <v>71</v>
      </c>
      <c r="S15" s="8" t="s">
        <v>80</v>
      </c>
      <c r="T15" s="8">
        <v>1.0</v>
      </c>
      <c r="W15" s="7" t="s">
        <v>71</v>
      </c>
      <c r="X15" s="8" t="s">
        <v>81</v>
      </c>
      <c r="Y15" s="8">
        <v>1.0</v>
      </c>
      <c r="AB15" s="7">
        <v>9.0</v>
      </c>
      <c r="AC15" s="8" t="s">
        <v>82</v>
      </c>
      <c r="AD15" s="8">
        <v>2.0</v>
      </c>
      <c r="AG15" s="7">
        <v>9.0</v>
      </c>
      <c r="AH15" s="8" t="s">
        <v>83</v>
      </c>
      <c r="AI15" s="8">
        <v>3.0</v>
      </c>
    </row>
    <row r="16" ht="30.75" customHeight="1">
      <c r="C16" s="7" t="s">
        <v>78</v>
      </c>
      <c r="D16" s="8" t="s">
        <v>84</v>
      </c>
      <c r="E16" s="8">
        <v>1.0</v>
      </c>
      <c r="H16" s="7" t="s">
        <v>85</v>
      </c>
      <c r="I16" s="8" t="s">
        <v>86</v>
      </c>
      <c r="J16" s="8">
        <v>67.0</v>
      </c>
      <c r="R16" s="7" t="s">
        <v>78</v>
      </c>
      <c r="S16" s="8" t="s">
        <v>87</v>
      </c>
      <c r="T16" s="8">
        <v>2.0</v>
      </c>
      <c r="W16" s="7" t="s">
        <v>78</v>
      </c>
      <c r="X16" s="8" t="s">
        <v>88</v>
      </c>
      <c r="Y16" s="8">
        <v>1.0</v>
      </c>
      <c r="AB16" s="7">
        <v>10.0</v>
      </c>
      <c r="AC16" s="8" t="s">
        <v>89</v>
      </c>
      <c r="AD16" s="8">
        <v>2.0</v>
      </c>
      <c r="AG16" s="7">
        <v>10.0</v>
      </c>
      <c r="AH16" s="8" t="s">
        <v>90</v>
      </c>
      <c r="AI16" s="8">
        <v>2.0</v>
      </c>
    </row>
    <row r="17" ht="30.75" customHeight="1">
      <c r="C17" s="9">
        <v>11.0</v>
      </c>
      <c r="D17" s="8" t="s">
        <v>91</v>
      </c>
      <c r="E17" s="8">
        <v>5.0</v>
      </c>
      <c r="H17" s="7" t="s">
        <v>92</v>
      </c>
      <c r="I17" s="8" t="s">
        <v>93</v>
      </c>
      <c r="J17" s="8">
        <v>4.0</v>
      </c>
      <c r="R17" s="7" t="s">
        <v>85</v>
      </c>
      <c r="S17" s="8" t="s">
        <v>94</v>
      </c>
      <c r="T17" s="8">
        <v>1.0</v>
      </c>
      <c r="AB17" s="7">
        <v>11.0</v>
      </c>
      <c r="AC17" s="8" t="s">
        <v>95</v>
      </c>
      <c r="AD17" s="8">
        <v>4.0</v>
      </c>
      <c r="AG17" s="7">
        <v>11.0</v>
      </c>
      <c r="AH17" s="8" t="s">
        <v>96</v>
      </c>
      <c r="AI17" s="8">
        <v>2.0</v>
      </c>
    </row>
    <row r="18" ht="30.75" customHeight="1">
      <c r="C18" s="10" t="s">
        <v>92</v>
      </c>
      <c r="D18" s="11" t="s">
        <v>97</v>
      </c>
      <c r="E18" s="10">
        <v>4.0</v>
      </c>
      <c r="H18" s="7" t="s">
        <v>98</v>
      </c>
      <c r="I18" s="8" t="s">
        <v>99</v>
      </c>
      <c r="J18" s="8">
        <v>3.0</v>
      </c>
      <c r="R18" s="7" t="s">
        <v>92</v>
      </c>
      <c r="S18" s="8" t="s">
        <v>100</v>
      </c>
      <c r="T18" s="8" t="s">
        <v>101</v>
      </c>
      <c r="AB18" s="7">
        <v>12.0</v>
      </c>
      <c r="AC18" s="8" t="s">
        <v>102</v>
      </c>
      <c r="AD18" s="8">
        <v>18.0</v>
      </c>
      <c r="AG18" s="7">
        <v>12.0</v>
      </c>
      <c r="AH18" s="8" t="s">
        <v>103</v>
      </c>
      <c r="AI18" s="8">
        <v>2.0</v>
      </c>
    </row>
    <row r="19" ht="30.75" customHeight="1">
      <c r="C19" s="12"/>
      <c r="D19" s="8" t="s">
        <v>104</v>
      </c>
      <c r="E19" s="12"/>
      <c r="H19" s="7" t="s">
        <v>105</v>
      </c>
      <c r="I19" s="8" t="s">
        <v>106</v>
      </c>
      <c r="J19" s="8">
        <v>4.0</v>
      </c>
      <c r="R19" s="7" t="s">
        <v>98</v>
      </c>
      <c r="S19" s="8" t="s">
        <v>107</v>
      </c>
      <c r="T19" s="8">
        <v>1.0</v>
      </c>
      <c r="AB19" s="7">
        <v>13.0</v>
      </c>
      <c r="AC19" s="8" t="s">
        <v>36</v>
      </c>
      <c r="AD19" s="8">
        <v>3.0</v>
      </c>
      <c r="AG19" s="7">
        <v>13.0</v>
      </c>
      <c r="AH19" s="8" t="s">
        <v>108</v>
      </c>
      <c r="AI19" s="8">
        <v>2.0</v>
      </c>
    </row>
    <row r="20" ht="30.75" customHeight="1">
      <c r="C20" s="7" t="s">
        <v>98</v>
      </c>
      <c r="D20" s="8" t="s">
        <v>109</v>
      </c>
      <c r="E20" s="8">
        <v>5.0</v>
      </c>
      <c r="H20" s="7" t="s">
        <v>110</v>
      </c>
      <c r="I20" s="8" t="s">
        <v>111</v>
      </c>
      <c r="J20" s="8">
        <v>6.0</v>
      </c>
      <c r="R20" s="7" t="s">
        <v>105</v>
      </c>
      <c r="S20" s="8" t="s">
        <v>112</v>
      </c>
      <c r="T20" s="8">
        <v>1.0</v>
      </c>
      <c r="AB20" s="7">
        <v>14.0</v>
      </c>
      <c r="AC20" s="8" t="s">
        <v>113</v>
      </c>
      <c r="AD20" s="8">
        <v>1.0</v>
      </c>
      <c r="AG20" s="7">
        <v>14.0</v>
      </c>
      <c r="AH20" s="8" t="s">
        <v>114</v>
      </c>
      <c r="AI20" s="8">
        <v>3.0</v>
      </c>
    </row>
    <row r="21" ht="30.75" customHeight="1">
      <c r="C21" s="7" t="s">
        <v>105</v>
      </c>
      <c r="D21" s="8" t="s">
        <v>115</v>
      </c>
      <c r="E21" s="8">
        <v>18.0</v>
      </c>
      <c r="H21" s="7" t="s">
        <v>116</v>
      </c>
      <c r="I21" s="8" t="s">
        <v>117</v>
      </c>
      <c r="J21" s="8">
        <v>6.0</v>
      </c>
      <c r="R21" s="7" t="s">
        <v>110</v>
      </c>
      <c r="S21" s="8" t="s">
        <v>118</v>
      </c>
      <c r="T21" s="8">
        <v>1.0</v>
      </c>
      <c r="AB21" s="7">
        <v>15.0</v>
      </c>
      <c r="AC21" s="8" t="s">
        <v>119</v>
      </c>
      <c r="AD21" s="8">
        <v>3.0</v>
      </c>
      <c r="AG21" s="7">
        <v>15.0</v>
      </c>
      <c r="AH21" s="8" t="s">
        <v>120</v>
      </c>
      <c r="AI21" s="8">
        <v>2.0</v>
      </c>
    </row>
    <row r="22" ht="30.75" customHeight="1">
      <c r="C22" s="10" t="s">
        <v>110</v>
      </c>
      <c r="D22" s="11" t="s">
        <v>121</v>
      </c>
      <c r="E22" s="10">
        <v>12.0</v>
      </c>
      <c r="H22" s="7" t="s">
        <v>122</v>
      </c>
      <c r="I22" s="8" t="s">
        <v>123</v>
      </c>
      <c r="J22" s="8">
        <v>4.0</v>
      </c>
      <c r="R22" s="7" t="s">
        <v>116</v>
      </c>
      <c r="S22" s="8" t="s">
        <v>124</v>
      </c>
      <c r="T22" s="8">
        <v>2.0</v>
      </c>
      <c r="AB22" s="7">
        <v>16.0</v>
      </c>
      <c r="AC22" s="8" t="s">
        <v>125</v>
      </c>
      <c r="AD22" s="8">
        <v>1.0</v>
      </c>
      <c r="AG22" s="7">
        <v>16.0</v>
      </c>
      <c r="AH22" s="8" t="s">
        <v>126</v>
      </c>
      <c r="AI22" s="8">
        <v>4.0</v>
      </c>
    </row>
    <row r="23" ht="30.75" customHeight="1">
      <c r="C23" s="12"/>
      <c r="D23" s="8" t="s">
        <v>127</v>
      </c>
      <c r="E23" s="12"/>
      <c r="H23" s="7" t="s">
        <v>128</v>
      </c>
      <c r="I23" s="8" t="s">
        <v>129</v>
      </c>
      <c r="J23" s="8">
        <v>5.0</v>
      </c>
      <c r="R23" s="7" t="s">
        <v>122</v>
      </c>
      <c r="S23" s="8" t="s">
        <v>130</v>
      </c>
      <c r="T23" s="8">
        <v>2.0</v>
      </c>
      <c r="AB23" s="7">
        <v>17.0</v>
      </c>
      <c r="AC23" s="8" t="s">
        <v>131</v>
      </c>
      <c r="AD23" s="8">
        <v>2.0</v>
      </c>
      <c r="AG23" s="7">
        <v>17.0</v>
      </c>
      <c r="AH23" s="8" t="s">
        <v>132</v>
      </c>
      <c r="AI23" s="8">
        <v>1.0</v>
      </c>
    </row>
    <row r="24" ht="15.75" customHeight="1">
      <c r="C24" s="7" t="s">
        <v>116</v>
      </c>
      <c r="D24" s="8" t="s">
        <v>133</v>
      </c>
      <c r="E24" s="8">
        <v>2.0</v>
      </c>
      <c r="H24" s="7" t="s">
        <v>134</v>
      </c>
      <c r="I24" s="8" t="s">
        <v>135</v>
      </c>
      <c r="J24" s="8">
        <v>4.0</v>
      </c>
      <c r="R24" s="7" t="s">
        <v>128</v>
      </c>
      <c r="S24" s="8" t="s">
        <v>136</v>
      </c>
      <c r="T24" s="8">
        <v>1.0</v>
      </c>
      <c r="AB24" s="7">
        <v>18.0</v>
      </c>
      <c r="AC24" s="8" t="s">
        <v>137</v>
      </c>
      <c r="AD24" s="8">
        <v>19.0</v>
      </c>
      <c r="AG24" s="7">
        <v>18.0</v>
      </c>
      <c r="AH24" s="8" t="s">
        <v>138</v>
      </c>
      <c r="AI24" s="13">
        <v>8.0</v>
      </c>
    </row>
    <row r="25" ht="45.75" customHeight="1">
      <c r="C25" s="7" t="s">
        <v>122</v>
      </c>
      <c r="D25" s="8" t="s">
        <v>139</v>
      </c>
      <c r="E25" s="8">
        <v>2.0</v>
      </c>
      <c r="H25" s="7" t="s">
        <v>140</v>
      </c>
      <c r="I25" s="8" t="s">
        <v>141</v>
      </c>
      <c r="J25" s="8">
        <v>3.0</v>
      </c>
      <c r="R25" s="7" t="s">
        <v>134</v>
      </c>
      <c r="S25" s="8" t="s">
        <v>142</v>
      </c>
      <c r="T25" s="8">
        <v>3.0</v>
      </c>
      <c r="AB25" s="7">
        <v>19.0</v>
      </c>
      <c r="AC25" s="8" t="s">
        <v>143</v>
      </c>
      <c r="AD25" s="8">
        <v>5.0</v>
      </c>
      <c r="AG25" s="7">
        <v>19.0</v>
      </c>
      <c r="AH25" s="8" t="s">
        <v>144</v>
      </c>
      <c r="AI25" s="8">
        <v>1.0</v>
      </c>
    </row>
    <row r="26" ht="30.75" customHeight="1">
      <c r="C26" s="7" t="s">
        <v>128</v>
      </c>
      <c r="D26" s="8" t="s">
        <v>145</v>
      </c>
      <c r="E26" s="8">
        <v>1.0</v>
      </c>
      <c r="H26" s="7" t="s">
        <v>146</v>
      </c>
      <c r="I26" s="8" t="s">
        <v>147</v>
      </c>
      <c r="J26" s="8">
        <v>4.0</v>
      </c>
      <c r="R26" s="7" t="s">
        <v>140</v>
      </c>
      <c r="S26" s="8" t="s">
        <v>148</v>
      </c>
      <c r="T26" s="8">
        <v>4.0</v>
      </c>
      <c r="AB26" s="7">
        <v>20.0</v>
      </c>
      <c r="AC26" s="8" t="s">
        <v>149</v>
      </c>
      <c r="AD26" s="8">
        <v>5.0</v>
      </c>
      <c r="AG26" s="7">
        <v>20.0</v>
      </c>
      <c r="AH26" s="8" t="s">
        <v>150</v>
      </c>
      <c r="AI26" s="8">
        <v>2.0</v>
      </c>
    </row>
    <row r="27" ht="30.75" customHeight="1">
      <c r="C27" s="7" t="s">
        <v>134</v>
      </c>
      <c r="D27" s="8" t="s">
        <v>151</v>
      </c>
      <c r="E27" s="8">
        <v>5.0</v>
      </c>
      <c r="H27" s="7" t="s">
        <v>152</v>
      </c>
      <c r="I27" s="8" t="s">
        <v>153</v>
      </c>
      <c r="J27" s="8">
        <v>4.0</v>
      </c>
      <c r="R27" s="7" t="s">
        <v>146</v>
      </c>
      <c r="S27" s="8" t="s">
        <v>154</v>
      </c>
      <c r="T27" s="8" t="s">
        <v>155</v>
      </c>
      <c r="AB27" s="7">
        <v>21.0</v>
      </c>
      <c r="AC27" s="8" t="s">
        <v>156</v>
      </c>
      <c r="AD27" s="8">
        <v>10.0</v>
      </c>
      <c r="AG27" s="7">
        <v>21.0</v>
      </c>
      <c r="AH27" s="8" t="s">
        <v>157</v>
      </c>
      <c r="AI27" s="8">
        <v>1.0</v>
      </c>
    </row>
    <row r="28" ht="30.75" customHeight="1">
      <c r="C28" s="7" t="s">
        <v>140</v>
      </c>
      <c r="D28" s="8" t="s">
        <v>158</v>
      </c>
      <c r="E28" s="8">
        <v>2.0</v>
      </c>
      <c r="H28" s="7" t="s">
        <v>159</v>
      </c>
      <c r="I28" s="8" t="s">
        <v>160</v>
      </c>
      <c r="J28" s="8">
        <v>1.0</v>
      </c>
      <c r="R28" s="7" t="s">
        <v>152</v>
      </c>
      <c r="S28" s="8" t="s">
        <v>161</v>
      </c>
      <c r="T28" s="8">
        <v>1.0</v>
      </c>
      <c r="AB28" s="7">
        <v>22.0</v>
      </c>
      <c r="AC28" s="8" t="s">
        <v>162</v>
      </c>
      <c r="AD28" s="8">
        <v>1.0</v>
      </c>
      <c r="AG28" s="7">
        <v>22.0</v>
      </c>
      <c r="AH28" s="8" t="s">
        <v>163</v>
      </c>
      <c r="AI28" s="8">
        <v>2.0</v>
      </c>
    </row>
    <row r="29" ht="15.75" customHeight="1">
      <c r="C29" s="7" t="s">
        <v>146</v>
      </c>
      <c r="D29" s="8" t="s">
        <v>164</v>
      </c>
      <c r="E29" s="8">
        <v>5.0</v>
      </c>
      <c r="H29" s="7" t="s">
        <v>165</v>
      </c>
      <c r="I29" s="8" t="s">
        <v>166</v>
      </c>
      <c r="J29" s="8">
        <v>11.0</v>
      </c>
      <c r="R29" s="7" t="s">
        <v>159</v>
      </c>
      <c r="S29" s="8" t="s">
        <v>167</v>
      </c>
      <c r="T29" s="8">
        <v>2.0</v>
      </c>
      <c r="AB29" s="7">
        <v>23.0</v>
      </c>
      <c r="AC29" s="8" t="s">
        <v>168</v>
      </c>
      <c r="AD29" s="8">
        <v>1.0</v>
      </c>
      <c r="AG29" s="7">
        <v>23.0</v>
      </c>
      <c r="AH29" s="8" t="s">
        <v>169</v>
      </c>
      <c r="AI29" s="8">
        <v>1.0</v>
      </c>
    </row>
    <row r="30" ht="30.75" customHeight="1">
      <c r="C30" s="7" t="s">
        <v>152</v>
      </c>
      <c r="D30" s="8" t="s">
        <v>170</v>
      </c>
      <c r="E30" s="8">
        <v>4.0</v>
      </c>
      <c r="H30" s="7" t="s">
        <v>171</v>
      </c>
      <c r="I30" s="8" t="s">
        <v>172</v>
      </c>
      <c r="J30" s="8">
        <v>1.0</v>
      </c>
      <c r="R30" s="7" t="s">
        <v>165</v>
      </c>
      <c r="S30" s="8" t="s">
        <v>173</v>
      </c>
      <c r="T30" s="8">
        <v>1.0</v>
      </c>
      <c r="AB30" s="7">
        <v>24.0</v>
      </c>
      <c r="AC30" s="8" t="s">
        <v>174</v>
      </c>
      <c r="AD30" s="8">
        <v>1.0</v>
      </c>
      <c r="AG30" s="7">
        <v>24.0</v>
      </c>
      <c r="AH30" s="8" t="s">
        <v>175</v>
      </c>
      <c r="AI30" s="8">
        <v>6.0</v>
      </c>
    </row>
    <row r="31" ht="30.75" customHeight="1">
      <c r="C31" s="7" t="s">
        <v>159</v>
      </c>
      <c r="D31" s="8" t="s">
        <v>176</v>
      </c>
      <c r="E31" s="8">
        <v>1.0</v>
      </c>
      <c r="H31" s="7" t="s">
        <v>177</v>
      </c>
      <c r="I31" s="8" t="s">
        <v>178</v>
      </c>
      <c r="J31" s="8">
        <v>9.0</v>
      </c>
      <c r="R31" s="7" t="s">
        <v>171</v>
      </c>
      <c r="S31" s="8" t="s">
        <v>179</v>
      </c>
      <c r="T31" s="8">
        <v>2.0</v>
      </c>
      <c r="AB31" s="7">
        <v>25.0</v>
      </c>
      <c r="AC31" s="8" t="s">
        <v>180</v>
      </c>
      <c r="AD31" s="8">
        <v>1.0</v>
      </c>
      <c r="AG31" s="7">
        <v>25.0</v>
      </c>
      <c r="AH31" s="8" t="s">
        <v>181</v>
      </c>
      <c r="AI31" s="8">
        <v>6.0</v>
      </c>
    </row>
    <row r="32" ht="30.75" customHeight="1">
      <c r="C32" s="7" t="s">
        <v>165</v>
      </c>
      <c r="D32" s="8" t="s">
        <v>182</v>
      </c>
      <c r="E32" s="8">
        <v>7.0</v>
      </c>
      <c r="H32" s="7" t="s">
        <v>183</v>
      </c>
      <c r="I32" s="8" t="s">
        <v>184</v>
      </c>
      <c r="J32" s="8">
        <v>6.0</v>
      </c>
      <c r="R32" s="7" t="s">
        <v>177</v>
      </c>
      <c r="S32" s="8" t="s">
        <v>185</v>
      </c>
      <c r="T32" s="14"/>
      <c r="AB32" s="7">
        <v>26.0</v>
      </c>
      <c r="AC32" s="8" t="s">
        <v>186</v>
      </c>
      <c r="AD32" s="8">
        <v>1.0</v>
      </c>
      <c r="AG32" s="7">
        <v>26.0</v>
      </c>
      <c r="AH32" s="8" t="s">
        <v>187</v>
      </c>
      <c r="AI32" s="8">
        <v>8.0</v>
      </c>
    </row>
    <row r="33" ht="30.75" customHeight="1">
      <c r="C33" s="7" t="s">
        <v>171</v>
      </c>
      <c r="D33" s="8" t="s">
        <v>188</v>
      </c>
      <c r="E33" s="8">
        <v>5.0</v>
      </c>
      <c r="H33" s="7" t="s">
        <v>189</v>
      </c>
      <c r="I33" s="8" t="s">
        <v>190</v>
      </c>
      <c r="J33" s="8">
        <v>15.0</v>
      </c>
      <c r="R33" s="7" t="s">
        <v>183</v>
      </c>
      <c r="S33" s="8" t="s">
        <v>191</v>
      </c>
      <c r="T33" s="8">
        <v>1.0</v>
      </c>
      <c r="AB33" s="7">
        <v>27.0</v>
      </c>
      <c r="AC33" s="8" t="s">
        <v>192</v>
      </c>
      <c r="AD33" s="8">
        <v>1.0</v>
      </c>
      <c r="AG33" s="7">
        <v>27.0</v>
      </c>
      <c r="AH33" s="8" t="s">
        <v>193</v>
      </c>
      <c r="AI33" s="8">
        <v>8.0</v>
      </c>
    </row>
    <row r="34" ht="30.75" customHeight="1">
      <c r="C34" s="7" t="s">
        <v>177</v>
      </c>
      <c r="D34" s="8" t="s">
        <v>194</v>
      </c>
      <c r="E34" s="8">
        <v>6.0</v>
      </c>
      <c r="H34" s="7" t="s">
        <v>195</v>
      </c>
      <c r="I34" s="8" t="s">
        <v>196</v>
      </c>
      <c r="J34" s="8">
        <v>1.0</v>
      </c>
      <c r="R34" s="7" t="s">
        <v>189</v>
      </c>
      <c r="S34" s="8" t="s">
        <v>197</v>
      </c>
      <c r="T34" s="8">
        <v>2.0</v>
      </c>
      <c r="AB34" s="7">
        <v>28.0</v>
      </c>
      <c r="AC34" s="8" t="s">
        <v>198</v>
      </c>
      <c r="AD34" s="8">
        <v>1.0</v>
      </c>
    </row>
    <row r="35" ht="30.75" customHeight="1">
      <c r="C35" s="7" t="s">
        <v>183</v>
      </c>
      <c r="D35" s="8" t="s">
        <v>199</v>
      </c>
      <c r="E35" s="8">
        <v>5.0</v>
      </c>
      <c r="H35" s="7" t="s">
        <v>200</v>
      </c>
      <c r="I35" s="8" t="s">
        <v>201</v>
      </c>
      <c r="J35" s="8" t="s">
        <v>202</v>
      </c>
      <c r="R35" s="7" t="s">
        <v>195</v>
      </c>
      <c r="S35" s="8" t="s">
        <v>203</v>
      </c>
      <c r="T35" s="8">
        <v>6.0</v>
      </c>
      <c r="AB35" s="7">
        <v>29.0</v>
      </c>
      <c r="AC35" s="8" t="s">
        <v>204</v>
      </c>
      <c r="AD35" s="8">
        <v>1.0</v>
      </c>
    </row>
    <row r="36" ht="30.75" customHeight="1">
      <c r="C36" s="7" t="s">
        <v>189</v>
      </c>
      <c r="D36" s="8" t="s">
        <v>205</v>
      </c>
      <c r="E36" s="8">
        <v>3.0</v>
      </c>
      <c r="H36" s="7" t="s">
        <v>206</v>
      </c>
      <c r="I36" s="8" t="s">
        <v>207</v>
      </c>
      <c r="J36" s="8" t="s">
        <v>202</v>
      </c>
      <c r="R36" s="7" t="s">
        <v>200</v>
      </c>
      <c r="S36" s="8" t="s">
        <v>208</v>
      </c>
      <c r="T36" s="14"/>
      <c r="AB36" s="7">
        <v>30.0</v>
      </c>
      <c r="AC36" s="8" t="s">
        <v>209</v>
      </c>
      <c r="AD36" s="8">
        <v>2.0</v>
      </c>
    </row>
    <row r="37" ht="15.75" customHeight="1">
      <c r="C37" s="7" t="s">
        <v>195</v>
      </c>
      <c r="D37" s="8" t="s">
        <v>210</v>
      </c>
      <c r="E37" s="8">
        <v>13.0</v>
      </c>
      <c r="H37" s="7" t="s">
        <v>211</v>
      </c>
      <c r="I37" s="8" t="s">
        <v>212</v>
      </c>
      <c r="J37" s="8" t="s">
        <v>202</v>
      </c>
      <c r="R37" s="7" t="s">
        <v>206</v>
      </c>
      <c r="S37" s="8" t="s">
        <v>17</v>
      </c>
      <c r="T37" s="8">
        <v>8.0</v>
      </c>
      <c r="AB37" s="7">
        <v>31.0</v>
      </c>
      <c r="AC37" s="8" t="s">
        <v>213</v>
      </c>
      <c r="AD37" s="8">
        <v>5.0</v>
      </c>
    </row>
    <row r="38" ht="30.75" customHeight="1">
      <c r="C38" s="7">
        <v>30.0</v>
      </c>
      <c r="D38" s="8" t="s">
        <v>214</v>
      </c>
      <c r="E38" s="8">
        <v>9.0</v>
      </c>
      <c r="H38" s="7" t="s">
        <v>215</v>
      </c>
      <c r="I38" s="8" t="s">
        <v>216</v>
      </c>
      <c r="J38" s="8">
        <v>7.0</v>
      </c>
      <c r="R38" s="7" t="s">
        <v>211</v>
      </c>
      <c r="S38" s="8" t="s">
        <v>217</v>
      </c>
      <c r="T38" s="8">
        <v>3.0</v>
      </c>
      <c r="AB38" s="7">
        <v>32.0</v>
      </c>
      <c r="AC38" s="8" t="s">
        <v>218</v>
      </c>
      <c r="AD38" s="8">
        <v>1.0</v>
      </c>
    </row>
    <row r="39" ht="15.75" customHeight="1">
      <c r="C39" s="7" t="s">
        <v>206</v>
      </c>
      <c r="D39" s="8" t="s">
        <v>219</v>
      </c>
      <c r="E39" s="8">
        <v>14.0</v>
      </c>
      <c r="H39" s="7" t="s">
        <v>220</v>
      </c>
      <c r="I39" s="8" t="s">
        <v>221</v>
      </c>
      <c r="J39" s="8">
        <v>3.0</v>
      </c>
      <c r="R39" s="7" t="s">
        <v>215</v>
      </c>
      <c r="S39" s="8" t="s">
        <v>25</v>
      </c>
      <c r="T39" s="8">
        <v>1.0</v>
      </c>
      <c r="AB39" s="7">
        <v>33.0</v>
      </c>
      <c r="AC39" s="8" t="s">
        <v>222</v>
      </c>
      <c r="AD39" s="8">
        <v>1.0</v>
      </c>
    </row>
    <row r="40" ht="30.75" customHeight="1">
      <c r="C40" s="7" t="s">
        <v>211</v>
      </c>
      <c r="D40" s="8" t="s">
        <v>223</v>
      </c>
      <c r="E40" s="8">
        <v>8.0</v>
      </c>
      <c r="H40" s="7" t="s">
        <v>224</v>
      </c>
      <c r="I40" s="8" t="s">
        <v>225</v>
      </c>
      <c r="J40" s="8">
        <v>2.0</v>
      </c>
      <c r="R40" s="7" t="s">
        <v>220</v>
      </c>
      <c r="S40" s="8" t="s">
        <v>27</v>
      </c>
      <c r="T40" s="8">
        <v>2.0</v>
      </c>
      <c r="AB40" s="7">
        <v>34.0</v>
      </c>
      <c r="AC40" s="8" t="s">
        <v>226</v>
      </c>
      <c r="AD40" s="8">
        <v>5.0</v>
      </c>
    </row>
    <row r="41" ht="30.75" customHeight="1">
      <c r="C41" s="7" t="s">
        <v>215</v>
      </c>
      <c r="D41" s="8" t="s">
        <v>227</v>
      </c>
      <c r="E41" s="8">
        <v>1.0</v>
      </c>
      <c r="R41" s="7" t="s">
        <v>224</v>
      </c>
      <c r="S41" s="8" t="s">
        <v>228</v>
      </c>
      <c r="T41" s="8">
        <v>1.0</v>
      </c>
      <c r="AB41" s="7">
        <v>35.0</v>
      </c>
      <c r="AC41" s="8" t="s">
        <v>229</v>
      </c>
      <c r="AD41" s="8">
        <v>1.0</v>
      </c>
    </row>
    <row r="42" ht="15.75" customHeight="1">
      <c r="C42" s="7" t="s">
        <v>220</v>
      </c>
      <c r="D42" s="8" t="s">
        <v>230</v>
      </c>
      <c r="E42" s="8">
        <v>2.0</v>
      </c>
      <c r="R42" s="7" t="s">
        <v>231</v>
      </c>
      <c r="S42" s="8" t="s">
        <v>109</v>
      </c>
      <c r="T42" s="8">
        <v>2.0</v>
      </c>
      <c r="AB42" s="7">
        <v>36.0</v>
      </c>
      <c r="AC42" s="8"/>
      <c r="AD42" s="8"/>
    </row>
    <row r="43" ht="30.75" customHeight="1">
      <c r="C43" s="15" t="s">
        <v>224</v>
      </c>
      <c r="D43" s="6" t="s">
        <v>232</v>
      </c>
      <c r="E43" s="6">
        <v>5.0</v>
      </c>
      <c r="R43" s="7" t="s">
        <v>233</v>
      </c>
      <c r="S43" s="8" t="s">
        <v>234</v>
      </c>
      <c r="T43" s="8">
        <v>1.0</v>
      </c>
      <c r="AB43" s="7">
        <v>37.0</v>
      </c>
      <c r="AC43" s="8" t="s">
        <v>235</v>
      </c>
      <c r="AD43" s="8">
        <v>12.0</v>
      </c>
    </row>
    <row r="44" ht="15.75" customHeight="1">
      <c r="C44" s="9" t="s">
        <v>231</v>
      </c>
      <c r="D44" s="8" t="s">
        <v>236</v>
      </c>
      <c r="E44" s="8">
        <v>15.0</v>
      </c>
      <c r="AB44" s="7">
        <v>38.0</v>
      </c>
      <c r="AC44" s="8" t="s">
        <v>237</v>
      </c>
      <c r="AD44" s="8">
        <v>4.0</v>
      </c>
    </row>
    <row r="45" ht="15.75" customHeight="1">
      <c r="C45" s="9" t="s">
        <v>233</v>
      </c>
      <c r="D45" s="8" t="s">
        <v>238</v>
      </c>
      <c r="E45" s="8">
        <v>1.0</v>
      </c>
      <c r="AB45" s="7">
        <v>39.0</v>
      </c>
      <c r="AC45" s="8" t="s">
        <v>239</v>
      </c>
      <c r="AD45" s="8">
        <v>3.0</v>
      </c>
    </row>
    <row r="46" ht="15.75" customHeight="1">
      <c r="C46" s="9" t="s">
        <v>240</v>
      </c>
      <c r="D46" s="8" t="s">
        <v>241</v>
      </c>
      <c r="E46" s="8">
        <v>4.0</v>
      </c>
      <c r="AB46" s="7">
        <v>40.0</v>
      </c>
      <c r="AC46" s="8" t="s">
        <v>242</v>
      </c>
      <c r="AD46" s="8">
        <v>10.0</v>
      </c>
    </row>
    <row r="47" ht="15.75" customHeight="1">
      <c r="C47" s="9" t="s">
        <v>243</v>
      </c>
      <c r="D47" s="8" t="s">
        <v>244</v>
      </c>
      <c r="E47" s="8">
        <v>2.0</v>
      </c>
      <c r="AB47" s="7">
        <v>41.0</v>
      </c>
      <c r="AC47" s="8" t="s">
        <v>245</v>
      </c>
      <c r="AD47" s="8">
        <v>4.0</v>
      </c>
    </row>
    <row r="48" ht="15.75" customHeight="1">
      <c r="C48" s="9" t="s">
        <v>246</v>
      </c>
      <c r="D48" s="8" t="s">
        <v>247</v>
      </c>
      <c r="E48" s="8">
        <v>5.0</v>
      </c>
      <c r="AB48" s="7">
        <v>42.0</v>
      </c>
      <c r="AC48" s="8" t="s">
        <v>248</v>
      </c>
      <c r="AD48" s="8">
        <v>1.0</v>
      </c>
    </row>
    <row r="49" ht="15.75" customHeight="1">
      <c r="C49" s="9" t="s">
        <v>249</v>
      </c>
      <c r="D49" s="8" t="s">
        <v>250</v>
      </c>
      <c r="E49" s="8">
        <v>3.0</v>
      </c>
      <c r="AB49" s="7">
        <v>43.0</v>
      </c>
      <c r="AC49" s="8" t="s">
        <v>251</v>
      </c>
      <c r="AD49" s="8">
        <v>5.0</v>
      </c>
    </row>
    <row r="50" ht="15.75" customHeight="1">
      <c r="C50" s="9" t="s">
        <v>252</v>
      </c>
      <c r="D50" s="8" t="s">
        <v>253</v>
      </c>
      <c r="E50" s="8">
        <v>5.0</v>
      </c>
      <c r="AB50" s="7">
        <v>44.0</v>
      </c>
      <c r="AC50" s="8" t="s">
        <v>254</v>
      </c>
      <c r="AD50" s="8">
        <v>10.0</v>
      </c>
    </row>
    <row r="51" ht="15.75" customHeight="1">
      <c r="C51" s="9" t="s">
        <v>255</v>
      </c>
      <c r="D51" s="8" t="s">
        <v>256</v>
      </c>
      <c r="E51" s="8">
        <v>5.0</v>
      </c>
      <c r="AB51" s="7">
        <v>45.0</v>
      </c>
      <c r="AC51" s="8" t="s">
        <v>257</v>
      </c>
      <c r="AD51" s="8" t="s">
        <v>258</v>
      </c>
    </row>
    <row r="52" ht="15.75" customHeight="1">
      <c r="C52" s="9" t="s">
        <v>259</v>
      </c>
      <c r="D52" s="8" t="s">
        <v>260</v>
      </c>
      <c r="E52" s="8">
        <v>5.0</v>
      </c>
      <c r="AB52" s="7">
        <v>46.0</v>
      </c>
      <c r="AC52" s="8" t="s">
        <v>261</v>
      </c>
      <c r="AD52" s="8">
        <v>9.0</v>
      </c>
    </row>
    <row r="53" ht="15.75" customHeight="1">
      <c r="C53" s="9" t="s">
        <v>262</v>
      </c>
      <c r="D53" s="8" t="s">
        <v>263</v>
      </c>
      <c r="E53" s="8">
        <v>4.0</v>
      </c>
    </row>
    <row r="54" ht="15.75" customHeight="1">
      <c r="C54" s="9" t="s">
        <v>264</v>
      </c>
      <c r="D54" s="8" t="s">
        <v>265</v>
      </c>
      <c r="E54" s="8">
        <v>3.0</v>
      </c>
      <c r="AB54" s="4">
        <v>47.0</v>
      </c>
      <c r="AC54" s="6" t="s">
        <v>266</v>
      </c>
      <c r="AD54" s="6">
        <v>1.0</v>
      </c>
    </row>
    <row r="55" ht="15.75" customHeight="1">
      <c r="C55" s="9" t="s">
        <v>267</v>
      </c>
      <c r="D55" s="8" t="s">
        <v>268</v>
      </c>
      <c r="E55" s="8">
        <v>1.0</v>
      </c>
      <c r="AB55" s="10">
        <v>48.0</v>
      </c>
      <c r="AC55" s="11" t="s">
        <v>208</v>
      </c>
      <c r="AD55" s="10" t="s">
        <v>269</v>
      </c>
    </row>
    <row r="56" ht="15.75" customHeight="1">
      <c r="C56" s="9" t="s">
        <v>270</v>
      </c>
      <c r="D56" s="8" t="s">
        <v>271</v>
      </c>
      <c r="E56" s="8">
        <v>5.0</v>
      </c>
      <c r="AB56" s="12"/>
      <c r="AC56" s="8" t="s">
        <v>272</v>
      </c>
      <c r="AD56" s="12"/>
    </row>
    <row r="57" ht="15.75" customHeight="1">
      <c r="C57" s="9" t="s">
        <v>273</v>
      </c>
      <c r="D57" s="8" t="s">
        <v>274</v>
      </c>
      <c r="E57" s="8">
        <v>1.0</v>
      </c>
      <c r="AB57" s="10">
        <v>49.0</v>
      </c>
      <c r="AC57" s="10" t="s">
        <v>275</v>
      </c>
      <c r="AD57" s="11" t="s">
        <v>276</v>
      </c>
    </row>
    <row r="58" ht="15.75" customHeight="1">
      <c r="C58" s="9" t="s">
        <v>277</v>
      </c>
      <c r="D58" s="8" t="s">
        <v>278</v>
      </c>
      <c r="E58" s="8">
        <v>4.0</v>
      </c>
      <c r="AB58" s="12"/>
      <c r="AC58" s="12"/>
      <c r="AD58" s="8" t="s">
        <v>279</v>
      </c>
    </row>
    <row r="59" ht="15.75" customHeight="1">
      <c r="C59" s="9" t="s">
        <v>280</v>
      </c>
      <c r="D59" s="8" t="s">
        <v>41</v>
      </c>
      <c r="E59" s="8">
        <v>12.0</v>
      </c>
      <c r="AB59" s="10">
        <v>50.0</v>
      </c>
      <c r="AC59" s="10" t="s">
        <v>281</v>
      </c>
      <c r="AD59" s="11" t="s">
        <v>282</v>
      </c>
    </row>
    <row r="60" ht="15.75" customHeight="1">
      <c r="C60" s="9" t="s">
        <v>283</v>
      </c>
      <c r="D60" s="8" t="s">
        <v>49</v>
      </c>
      <c r="E60" s="8">
        <v>10.0</v>
      </c>
      <c r="AB60" s="12"/>
      <c r="AC60" s="12"/>
      <c r="AD60" s="8" t="s">
        <v>279</v>
      </c>
    </row>
    <row r="61" ht="15.75" customHeight="1">
      <c r="C61" s="9" t="s">
        <v>284</v>
      </c>
      <c r="D61" s="8" t="s">
        <v>285</v>
      </c>
      <c r="E61" s="8">
        <v>1.0</v>
      </c>
      <c r="AB61" s="7">
        <v>51.0</v>
      </c>
      <c r="AC61" s="8" t="s">
        <v>286</v>
      </c>
      <c r="AD61" s="8">
        <v>1.0</v>
      </c>
    </row>
    <row r="62" ht="15.75" customHeight="1">
      <c r="C62" s="9" t="s">
        <v>287</v>
      </c>
      <c r="D62" s="8" t="s">
        <v>288</v>
      </c>
      <c r="E62" s="8">
        <v>4.0</v>
      </c>
      <c r="AB62" s="7">
        <v>52.0</v>
      </c>
      <c r="AC62" s="8" t="s">
        <v>289</v>
      </c>
      <c r="AD62" s="8">
        <v>4.0</v>
      </c>
    </row>
    <row r="63" ht="15.75" customHeight="1">
      <c r="C63" s="9" t="s">
        <v>290</v>
      </c>
      <c r="D63" s="8" t="s">
        <v>291</v>
      </c>
      <c r="E63" s="8">
        <v>2.0</v>
      </c>
      <c r="AB63" s="7">
        <v>53.0</v>
      </c>
      <c r="AC63" s="8" t="s">
        <v>292</v>
      </c>
      <c r="AD63" s="8">
        <v>1.0</v>
      </c>
    </row>
    <row r="64" ht="15.75" customHeight="1">
      <c r="C64" s="9" t="s">
        <v>293</v>
      </c>
      <c r="D64" s="8" t="s">
        <v>294</v>
      </c>
      <c r="E64" s="8">
        <v>1.0</v>
      </c>
      <c r="AB64" s="7">
        <v>54.0</v>
      </c>
      <c r="AC64" s="8" t="s">
        <v>295</v>
      </c>
      <c r="AD64" s="8">
        <v>5.0</v>
      </c>
    </row>
    <row r="65" ht="15.75" customHeight="1">
      <c r="C65" s="9" t="s">
        <v>296</v>
      </c>
      <c r="D65" s="8" t="s">
        <v>297</v>
      </c>
      <c r="E65" s="8">
        <v>1.0</v>
      </c>
      <c r="AB65" s="7">
        <v>55.0</v>
      </c>
      <c r="AC65" s="8" t="s">
        <v>298</v>
      </c>
      <c r="AD65" s="14"/>
    </row>
    <row r="66" ht="15.75" customHeight="1">
      <c r="C66" s="9" t="s">
        <v>299</v>
      </c>
      <c r="D66" s="8" t="s">
        <v>300</v>
      </c>
      <c r="E66" s="8">
        <v>1.0</v>
      </c>
      <c r="AB66" s="7">
        <v>56.0</v>
      </c>
      <c r="AC66" s="8" t="s">
        <v>301</v>
      </c>
      <c r="AD66" s="8">
        <v>1.0</v>
      </c>
    </row>
    <row r="67" ht="15.75" customHeight="1">
      <c r="C67" s="9" t="s">
        <v>302</v>
      </c>
      <c r="D67" s="8" t="s">
        <v>303</v>
      </c>
      <c r="E67" s="8">
        <v>4.0</v>
      </c>
      <c r="AB67" s="7">
        <v>57.0</v>
      </c>
      <c r="AC67" s="8" t="s">
        <v>304</v>
      </c>
      <c r="AD67" s="8">
        <v>6.0</v>
      </c>
    </row>
    <row r="68" ht="15.75" customHeight="1">
      <c r="C68" s="9" t="s">
        <v>305</v>
      </c>
      <c r="D68" s="8" t="s">
        <v>306</v>
      </c>
      <c r="E68" s="8">
        <v>2.0</v>
      </c>
      <c r="AB68" s="7">
        <v>58.0</v>
      </c>
      <c r="AC68" s="8" t="s">
        <v>307</v>
      </c>
      <c r="AD68" s="8">
        <v>4.0</v>
      </c>
    </row>
    <row r="69" ht="15.75" customHeight="1">
      <c r="C69" s="9" t="s">
        <v>308</v>
      </c>
      <c r="D69" s="8" t="s">
        <v>33</v>
      </c>
      <c r="E69" s="8">
        <v>6.0</v>
      </c>
      <c r="AB69" s="7">
        <v>59.0</v>
      </c>
      <c r="AC69" s="8" t="s">
        <v>309</v>
      </c>
      <c r="AD69" s="8" t="s">
        <v>310</v>
      </c>
    </row>
    <row r="70" ht="15.75" customHeight="1">
      <c r="C70" s="9" t="s">
        <v>311</v>
      </c>
      <c r="D70" s="8" t="s">
        <v>312</v>
      </c>
      <c r="E70" s="8">
        <v>5.0</v>
      </c>
      <c r="AB70" s="7">
        <v>60.0</v>
      </c>
      <c r="AC70" s="8" t="s">
        <v>313</v>
      </c>
      <c r="AD70" s="8">
        <v>3.0</v>
      </c>
    </row>
    <row r="71" ht="15.75" customHeight="1">
      <c r="C71" s="9" t="s">
        <v>314</v>
      </c>
      <c r="D71" s="8" t="s">
        <v>315</v>
      </c>
      <c r="E71" s="8">
        <v>3.0</v>
      </c>
      <c r="AB71" s="7">
        <v>61.0</v>
      </c>
      <c r="AC71" s="8" t="s">
        <v>316</v>
      </c>
      <c r="AD71" s="8">
        <v>5.0</v>
      </c>
    </row>
    <row r="72" ht="15.75" customHeight="1">
      <c r="C72" s="9" t="s">
        <v>317</v>
      </c>
      <c r="D72" s="8" t="s">
        <v>318</v>
      </c>
      <c r="E72" s="8">
        <v>1.0</v>
      </c>
      <c r="AB72" s="7">
        <v>62.0</v>
      </c>
      <c r="AC72" s="8" t="s">
        <v>319</v>
      </c>
      <c r="AD72" s="8">
        <v>9.0</v>
      </c>
    </row>
    <row r="73" ht="15.75" customHeight="1">
      <c r="C73" s="9" t="s">
        <v>320</v>
      </c>
      <c r="D73" s="8" t="s">
        <v>321</v>
      </c>
      <c r="E73" s="8">
        <v>2.0</v>
      </c>
      <c r="AB73" s="7">
        <v>63.0</v>
      </c>
      <c r="AC73" s="8" t="s">
        <v>322</v>
      </c>
      <c r="AD73" s="8" t="s">
        <v>310</v>
      </c>
    </row>
    <row r="74" ht="15.75" customHeight="1">
      <c r="C74" s="9" t="s">
        <v>323</v>
      </c>
      <c r="D74" s="8" t="s">
        <v>324</v>
      </c>
      <c r="E74" s="8">
        <v>4.0</v>
      </c>
      <c r="AB74" s="7">
        <v>64.0</v>
      </c>
      <c r="AC74" s="8" t="s">
        <v>325</v>
      </c>
      <c r="AD74" s="8">
        <v>3.0</v>
      </c>
    </row>
    <row r="75" ht="15.75" customHeight="1">
      <c r="C75" s="9" t="s">
        <v>326</v>
      </c>
      <c r="D75" s="8" t="s">
        <v>327</v>
      </c>
      <c r="E75" s="8">
        <v>1.0</v>
      </c>
      <c r="AB75" s="7">
        <v>65.0</v>
      </c>
      <c r="AC75" s="8" t="s">
        <v>328</v>
      </c>
      <c r="AD75" s="8">
        <v>2.0</v>
      </c>
    </row>
    <row r="76" ht="15.75" customHeight="1">
      <c r="C76" s="9" t="s">
        <v>329</v>
      </c>
      <c r="D76" s="8" t="s">
        <v>151</v>
      </c>
      <c r="E76" s="8">
        <v>4.0</v>
      </c>
      <c r="AB76" s="7">
        <v>66.0</v>
      </c>
      <c r="AC76" s="8" t="s">
        <v>330</v>
      </c>
      <c r="AD76" s="8">
        <v>10.0</v>
      </c>
    </row>
    <row r="77" ht="15.75" customHeight="1">
      <c r="C77" s="9" t="s">
        <v>331</v>
      </c>
      <c r="D77" s="8" t="s">
        <v>80</v>
      </c>
      <c r="E77" s="8">
        <v>1.0</v>
      </c>
      <c r="AB77" s="7">
        <v>67.0</v>
      </c>
      <c r="AC77" s="8" t="s">
        <v>332</v>
      </c>
      <c r="AD77" s="8" t="s">
        <v>258</v>
      </c>
    </row>
    <row r="78" ht="15.75" customHeight="1">
      <c r="C78" s="9" t="s">
        <v>333</v>
      </c>
      <c r="D78" s="8" t="s">
        <v>334</v>
      </c>
      <c r="E78" s="8">
        <v>1.0</v>
      </c>
      <c r="AB78" s="7">
        <v>68.0</v>
      </c>
      <c r="AC78" s="8" t="s">
        <v>335</v>
      </c>
      <c r="AD78" s="8">
        <v>1.0</v>
      </c>
    </row>
    <row r="79" ht="15.75" customHeight="1">
      <c r="C79" s="9" t="s">
        <v>336</v>
      </c>
      <c r="D79" s="8" t="s">
        <v>337</v>
      </c>
      <c r="E79" s="8">
        <v>1.0</v>
      </c>
      <c r="AB79" s="7">
        <v>69.0</v>
      </c>
      <c r="AC79" s="8" t="s">
        <v>338</v>
      </c>
      <c r="AD79" s="8">
        <v>1.0</v>
      </c>
    </row>
    <row r="80" ht="15.75" customHeight="1">
      <c r="C80" s="9" t="s">
        <v>339</v>
      </c>
      <c r="D80" s="8" t="s">
        <v>340</v>
      </c>
      <c r="E80" s="8">
        <v>2.0</v>
      </c>
      <c r="AB80" s="7">
        <v>70.0</v>
      </c>
      <c r="AC80" s="8" t="s">
        <v>341</v>
      </c>
      <c r="AD80" s="8">
        <v>1.0</v>
      </c>
    </row>
    <row r="81" ht="15.75" customHeight="1">
      <c r="C81" s="15" t="s">
        <v>342</v>
      </c>
      <c r="D81" s="6" t="s">
        <v>343</v>
      </c>
      <c r="E81" s="6">
        <v>4.0</v>
      </c>
      <c r="AB81" s="7">
        <v>71.0</v>
      </c>
      <c r="AC81" s="8" t="s">
        <v>344</v>
      </c>
      <c r="AD81" s="8">
        <v>1.0</v>
      </c>
    </row>
    <row r="82" ht="15.75" customHeight="1">
      <c r="C82" s="9" t="s">
        <v>345</v>
      </c>
      <c r="D82" s="8" t="s">
        <v>346</v>
      </c>
      <c r="E82" s="8">
        <v>1.0</v>
      </c>
      <c r="AB82" s="7">
        <v>72.0</v>
      </c>
      <c r="AC82" s="8" t="s">
        <v>347</v>
      </c>
      <c r="AD82" s="8">
        <v>2.0</v>
      </c>
    </row>
    <row r="83" ht="15.75" customHeight="1">
      <c r="C83" s="9" t="s">
        <v>348</v>
      </c>
      <c r="D83" s="8" t="s">
        <v>349</v>
      </c>
      <c r="E83" s="8">
        <v>2.0</v>
      </c>
      <c r="AB83" s="7">
        <v>73.0</v>
      </c>
      <c r="AC83" s="8" t="s">
        <v>350</v>
      </c>
      <c r="AD83" s="8">
        <v>3.0</v>
      </c>
    </row>
    <row r="84" ht="15.75" customHeight="1">
      <c r="C84" s="9" t="s">
        <v>351</v>
      </c>
      <c r="D84" s="8" t="s">
        <v>352</v>
      </c>
      <c r="E84" s="8">
        <v>3.0</v>
      </c>
      <c r="AB84" s="7">
        <v>74.0</v>
      </c>
      <c r="AC84" s="8" t="s">
        <v>353</v>
      </c>
      <c r="AD84" s="8">
        <v>2.0</v>
      </c>
    </row>
    <row r="85" ht="15.75" customHeight="1">
      <c r="C85" s="9" t="s">
        <v>354</v>
      </c>
      <c r="D85" s="8" t="s">
        <v>327</v>
      </c>
      <c r="E85" s="8">
        <v>1.0</v>
      </c>
      <c r="AB85" s="7">
        <v>75.0</v>
      </c>
      <c r="AC85" s="8" t="s">
        <v>355</v>
      </c>
      <c r="AD85" s="8">
        <v>3.0</v>
      </c>
    </row>
    <row r="86" ht="15.75" customHeight="1">
      <c r="C86" s="9" t="s">
        <v>356</v>
      </c>
      <c r="D86" s="8" t="s">
        <v>357</v>
      </c>
      <c r="E86" s="8">
        <v>1.0</v>
      </c>
      <c r="AB86" s="7">
        <v>76.0</v>
      </c>
      <c r="AC86" s="8" t="s">
        <v>358</v>
      </c>
      <c r="AD86" s="8">
        <v>4.0</v>
      </c>
    </row>
    <row r="87" ht="15.75" customHeight="1">
      <c r="C87" s="9" t="s">
        <v>359</v>
      </c>
      <c r="D87" s="8" t="s">
        <v>360</v>
      </c>
      <c r="E87" s="8">
        <v>2.0</v>
      </c>
      <c r="AB87" s="7">
        <v>77.0</v>
      </c>
      <c r="AC87" s="8" t="s">
        <v>361</v>
      </c>
      <c r="AD87" s="8">
        <v>4.0</v>
      </c>
    </row>
    <row r="88" ht="15.75" customHeight="1">
      <c r="C88" s="9" t="s">
        <v>362</v>
      </c>
      <c r="D88" s="8" t="s">
        <v>363</v>
      </c>
      <c r="E88" s="8">
        <v>8.0</v>
      </c>
      <c r="AB88" s="7">
        <v>78.0</v>
      </c>
      <c r="AC88" s="8" t="s">
        <v>364</v>
      </c>
      <c r="AD88" s="8">
        <v>3.0</v>
      </c>
    </row>
    <row r="89" ht="15.75" customHeight="1">
      <c r="C89" s="9" t="s">
        <v>365</v>
      </c>
      <c r="D89" s="8" t="s">
        <v>366</v>
      </c>
      <c r="E89" s="8">
        <v>9.0</v>
      </c>
      <c r="AB89" s="7">
        <v>79.0</v>
      </c>
      <c r="AC89" s="8" t="s">
        <v>367</v>
      </c>
      <c r="AD89" s="8">
        <v>3.0</v>
      </c>
    </row>
    <row r="90" ht="15.75" customHeight="1">
      <c r="C90" s="9" t="s">
        <v>368</v>
      </c>
      <c r="D90" s="8" t="s">
        <v>369</v>
      </c>
      <c r="E90" s="8">
        <v>6.0</v>
      </c>
      <c r="AB90" s="7">
        <v>80.0</v>
      </c>
      <c r="AC90" s="8" t="s">
        <v>370</v>
      </c>
      <c r="AD90" s="8" t="s">
        <v>371</v>
      </c>
    </row>
    <row r="91" ht="15.75" customHeight="1">
      <c r="C91" s="9" t="s">
        <v>372</v>
      </c>
      <c r="D91" s="8" t="s">
        <v>373</v>
      </c>
      <c r="E91" s="8">
        <v>4.0</v>
      </c>
      <c r="AB91" s="7">
        <v>81.0</v>
      </c>
      <c r="AC91" s="8" t="s">
        <v>374</v>
      </c>
      <c r="AD91" s="8">
        <v>4.0</v>
      </c>
    </row>
    <row r="92" ht="15.75" customHeight="1">
      <c r="C92" s="9" t="s">
        <v>375</v>
      </c>
      <c r="D92" s="8" t="s">
        <v>376</v>
      </c>
      <c r="E92" s="8">
        <v>1.0</v>
      </c>
      <c r="AB92" s="7">
        <v>82.0</v>
      </c>
      <c r="AC92" s="8" t="s">
        <v>377</v>
      </c>
      <c r="AD92" s="8">
        <v>3.0</v>
      </c>
    </row>
    <row r="93" ht="15.75" customHeight="1">
      <c r="C93" s="9" t="s">
        <v>378</v>
      </c>
      <c r="D93" s="8" t="s">
        <v>379</v>
      </c>
      <c r="E93" s="8">
        <v>7.0</v>
      </c>
      <c r="AB93" s="7">
        <v>83.0</v>
      </c>
      <c r="AC93" s="16" t="s">
        <v>380</v>
      </c>
      <c r="AD93" s="8">
        <v>2.0</v>
      </c>
    </row>
    <row r="94" ht="15.75" customHeight="1">
      <c r="C94" s="9" t="s">
        <v>381</v>
      </c>
      <c r="D94" s="8" t="s">
        <v>382</v>
      </c>
      <c r="E94" s="8">
        <v>7.0</v>
      </c>
      <c r="AB94" s="7">
        <v>84.0</v>
      </c>
      <c r="AC94" s="8" t="s">
        <v>383</v>
      </c>
      <c r="AD94" s="8">
        <v>1.0</v>
      </c>
    </row>
    <row r="95" ht="15.75" customHeight="1">
      <c r="C95" s="9" t="s">
        <v>384</v>
      </c>
      <c r="D95" s="8" t="s">
        <v>385</v>
      </c>
      <c r="E95" s="8">
        <v>4.0</v>
      </c>
      <c r="AB95" s="7">
        <v>85.0</v>
      </c>
      <c r="AC95" s="8" t="s">
        <v>386</v>
      </c>
      <c r="AD95" s="8">
        <v>1.0</v>
      </c>
    </row>
    <row r="96" ht="15.75" customHeight="1">
      <c r="C96" s="9" t="s">
        <v>387</v>
      </c>
      <c r="D96" s="8" t="s">
        <v>388</v>
      </c>
      <c r="E96" s="8">
        <v>4.0</v>
      </c>
      <c r="AB96" s="7">
        <v>86.0</v>
      </c>
      <c r="AC96" s="8" t="s">
        <v>389</v>
      </c>
      <c r="AD96" s="8">
        <v>2.0</v>
      </c>
    </row>
    <row r="97" ht="15.75" customHeight="1">
      <c r="C97" s="9" t="s">
        <v>390</v>
      </c>
      <c r="D97" s="8" t="s">
        <v>391</v>
      </c>
      <c r="E97" s="8">
        <v>5.0</v>
      </c>
      <c r="AB97" s="7">
        <v>87.0</v>
      </c>
      <c r="AC97" s="8" t="s">
        <v>392</v>
      </c>
      <c r="AD97" s="8">
        <v>2.0</v>
      </c>
    </row>
    <row r="98" ht="15.75" customHeight="1">
      <c r="C98" s="9" t="s">
        <v>393</v>
      </c>
      <c r="D98" s="8" t="s">
        <v>394</v>
      </c>
      <c r="E98" s="8">
        <v>5.0</v>
      </c>
      <c r="AB98" s="7">
        <v>88.0</v>
      </c>
      <c r="AC98" s="8" t="s">
        <v>395</v>
      </c>
      <c r="AD98" s="8">
        <v>1.0</v>
      </c>
    </row>
    <row r="99" ht="15.75" customHeight="1">
      <c r="C99" s="9" t="s">
        <v>396</v>
      </c>
      <c r="D99" s="8" t="s">
        <v>21</v>
      </c>
      <c r="E99" s="8">
        <v>3.0</v>
      </c>
      <c r="AB99" s="7">
        <v>89.0</v>
      </c>
      <c r="AC99" s="8" t="s">
        <v>397</v>
      </c>
      <c r="AD99" s="8">
        <v>2.0</v>
      </c>
    </row>
    <row r="100" ht="15.75" customHeight="1">
      <c r="C100" s="9" t="s">
        <v>398</v>
      </c>
      <c r="D100" s="8" t="s">
        <v>399</v>
      </c>
      <c r="E100" s="8">
        <v>3.0</v>
      </c>
      <c r="AB100" s="7">
        <v>90.0</v>
      </c>
      <c r="AC100" s="8" t="s">
        <v>400</v>
      </c>
      <c r="AD100" s="8">
        <v>4.0</v>
      </c>
    </row>
    <row r="101" ht="15.75" customHeight="1">
      <c r="C101" s="9" t="s">
        <v>401</v>
      </c>
      <c r="D101" s="8" t="s">
        <v>402</v>
      </c>
      <c r="E101" s="8">
        <v>3.0</v>
      </c>
    </row>
    <row r="102" ht="15.75" customHeight="1">
      <c r="C102" s="9" t="s">
        <v>403</v>
      </c>
      <c r="D102" s="8" t="s">
        <v>45</v>
      </c>
      <c r="E102" s="8">
        <v>4.0</v>
      </c>
      <c r="AB102" s="4">
        <v>91.0</v>
      </c>
      <c r="AC102" s="6" t="s">
        <v>404</v>
      </c>
      <c r="AD102" s="6">
        <v>3.0</v>
      </c>
    </row>
    <row r="103" ht="15.75" customHeight="1">
      <c r="C103" s="9" t="s">
        <v>405</v>
      </c>
      <c r="D103" s="8" t="s">
        <v>53</v>
      </c>
      <c r="E103" s="8">
        <v>4.0</v>
      </c>
      <c r="AB103" s="7">
        <v>92.0</v>
      </c>
      <c r="AC103" s="8" t="s">
        <v>406</v>
      </c>
      <c r="AD103" s="8">
        <v>2.0</v>
      </c>
    </row>
    <row r="104" ht="15.75" customHeight="1">
      <c r="C104" s="9" t="s">
        <v>407</v>
      </c>
      <c r="D104" s="8" t="s">
        <v>61</v>
      </c>
      <c r="E104" s="8">
        <v>4.0</v>
      </c>
      <c r="AB104" s="7">
        <v>93.0</v>
      </c>
      <c r="AC104" s="8" t="s">
        <v>408</v>
      </c>
      <c r="AD104" s="8">
        <v>2.0</v>
      </c>
    </row>
    <row r="105" ht="15.75" customHeight="1">
      <c r="C105" s="9" t="s">
        <v>409</v>
      </c>
      <c r="D105" s="8" t="s">
        <v>410</v>
      </c>
      <c r="E105" s="8">
        <v>3.0</v>
      </c>
      <c r="AB105" s="7">
        <v>94.0</v>
      </c>
      <c r="AC105" s="8" t="s">
        <v>411</v>
      </c>
      <c r="AD105" s="8">
        <v>3.0</v>
      </c>
    </row>
    <row r="106" ht="15.75" customHeight="1">
      <c r="C106" s="9" t="s">
        <v>412</v>
      </c>
      <c r="D106" s="8" t="s">
        <v>413</v>
      </c>
      <c r="E106" s="8">
        <v>1.0</v>
      </c>
      <c r="AB106" s="7">
        <v>95.0</v>
      </c>
      <c r="AC106" s="8" t="s">
        <v>414</v>
      </c>
      <c r="AD106" s="8">
        <v>7.0</v>
      </c>
    </row>
    <row r="107" ht="15.75" customHeight="1">
      <c r="C107" s="9" t="s">
        <v>415</v>
      </c>
      <c r="D107" s="8" t="s">
        <v>416</v>
      </c>
      <c r="E107" s="8">
        <v>3.0</v>
      </c>
      <c r="AB107" s="7">
        <v>96.0</v>
      </c>
      <c r="AC107" s="8" t="s">
        <v>417</v>
      </c>
      <c r="AD107" s="8">
        <v>1.0</v>
      </c>
    </row>
    <row r="108" ht="15.75" customHeight="1">
      <c r="C108" s="9" t="s">
        <v>418</v>
      </c>
      <c r="D108" s="8" t="s">
        <v>90</v>
      </c>
      <c r="E108" s="8">
        <v>2.0</v>
      </c>
      <c r="AB108" s="7">
        <v>97.0</v>
      </c>
      <c r="AC108" s="8" t="s">
        <v>419</v>
      </c>
      <c r="AD108" s="8">
        <v>5.0</v>
      </c>
    </row>
    <row r="109" ht="15.75" customHeight="1">
      <c r="C109" s="9" t="s">
        <v>420</v>
      </c>
      <c r="D109" s="8" t="s">
        <v>421</v>
      </c>
      <c r="E109" s="8">
        <v>2.0</v>
      </c>
      <c r="AB109" s="7">
        <v>98.0</v>
      </c>
      <c r="AC109" s="8" t="s">
        <v>422</v>
      </c>
      <c r="AD109" s="8">
        <v>1.0</v>
      </c>
    </row>
    <row r="110" ht="15.75" customHeight="1">
      <c r="C110" s="9" t="s">
        <v>423</v>
      </c>
      <c r="D110" s="8" t="s">
        <v>424</v>
      </c>
      <c r="E110" s="8">
        <v>2.0</v>
      </c>
      <c r="AB110" s="7">
        <v>99.0</v>
      </c>
      <c r="AC110" s="8" t="s">
        <v>425</v>
      </c>
      <c r="AD110" s="8">
        <v>2.0</v>
      </c>
    </row>
    <row r="111" ht="15.75" customHeight="1">
      <c r="C111" s="9" t="s">
        <v>426</v>
      </c>
      <c r="D111" s="8" t="s">
        <v>108</v>
      </c>
      <c r="E111" s="8">
        <v>2.0</v>
      </c>
      <c r="AB111" s="7">
        <v>100.0</v>
      </c>
      <c r="AC111" s="8" t="s">
        <v>427</v>
      </c>
      <c r="AD111" s="8">
        <v>4.0</v>
      </c>
    </row>
    <row r="112" ht="15.75" customHeight="1">
      <c r="C112" s="9" t="s">
        <v>428</v>
      </c>
      <c r="D112" s="8" t="s">
        <v>114</v>
      </c>
      <c r="E112" s="8">
        <v>3.0</v>
      </c>
      <c r="AB112" s="7">
        <v>101.0</v>
      </c>
      <c r="AC112" s="8" t="s">
        <v>429</v>
      </c>
      <c r="AD112" s="8">
        <v>2.0</v>
      </c>
    </row>
    <row r="113" ht="15.75" customHeight="1">
      <c r="C113" s="9" t="s">
        <v>430</v>
      </c>
      <c r="D113" s="8" t="s">
        <v>120</v>
      </c>
      <c r="E113" s="8">
        <v>2.0</v>
      </c>
      <c r="AB113" s="7">
        <v>102.0</v>
      </c>
      <c r="AC113" s="8" t="s">
        <v>431</v>
      </c>
      <c r="AD113" s="8" t="s">
        <v>258</v>
      </c>
    </row>
    <row r="114" ht="15.75" customHeight="1">
      <c r="C114" s="9" t="s">
        <v>432</v>
      </c>
      <c r="D114" s="8" t="s">
        <v>126</v>
      </c>
      <c r="E114" s="8">
        <v>4.0</v>
      </c>
      <c r="AB114" s="7">
        <v>103.0</v>
      </c>
      <c r="AC114" s="8" t="s">
        <v>433</v>
      </c>
      <c r="AD114" s="8" t="s">
        <v>258</v>
      </c>
    </row>
    <row r="115" ht="15.75" customHeight="1">
      <c r="C115" s="9" t="s">
        <v>434</v>
      </c>
      <c r="D115" s="8" t="s">
        <v>435</v>
      </c>
      <c r="E115" s="8">
        <v>1.0</v>
      </c>
      <c r="AB115" s="7">
        <v>104.0</v>
      </c>
      <c r="AC115" s="16" t="s">
        <v>436</v>
      </c>
      <c r="AD115" s="8">
        <v>1.0</v>
      </c>
    </row>
    <row r="116" ht="15.75" customHeight="1">
      <c r="C116" s="9" t="s">
        <v>437</v>
      </c>
      <c r="D116" s="8" t="s">
        <v>138</v>
      </c>
      <c r="E116" s="8">
        <v>8.0</v>
      </c>
      <c r="AB116" s="7">
        <v>105.0</v>
      </c>
      <c r="AC116" s="8" t="s">
        <v>438</v>
      </c>
      <c r="AD116" s="8" t="s">
        <v>439</v>
      </c>
    </row>
    <row r="117" ht="15.75" customHeight="1">
      <c r="C117" s="9" t="s">
        <v>440</v>
      </c>
      <c r="D117" s="8" t="s">
        <v>144</v>
      </c>
      <c r="E117" s="8">
        <v>1.0</v>
      </c>
      <c r="AB117" s="7">
        <v>106.0</v>
      </c>
      <c r="AC117" s="8" t="s">
        <v>441</v>
      </c>
      <c r="AD117" s="8">
        <v>10.0</v>
      </c>
    </row>
    <row r="118" ht="15.75" customHeight="1">
      <c r="C118" s="9" t="s">
        <v>442</v>
      </c>
      <c r="D118" s="8" t="s">
        <v>443</v>
      </c>
      <c r="E118" s="8">
        <v>2.0</v>
      </c>
      <c r="AB118" s="7">
        <v>107.0</v>
      </c>
      <c r="AC118" s="8" t="s">
        <v>444</v>
      </c>
      <c r="AD118" s="8">
        <v>1.0</v>
      </c>
    </row>
    <row r="119" ht="15.75" customHeight="1">
      <c r="C119" s="9" t="s">
        <v>445</v>
      </c>
      <c r="D119" s="8" t="s">
        <v>446</v>
      </c>
      <c r="E119" s="8">
        <v>1.0</v>
      </c>
      <c r="AB119" s="7">
        <v>108.0</v>
      </c>
      <c r="AC119" s="8" t="s">
        <v>447</v>
      </c>
      <c r="AD119" s="8">
        <v>1.0</v>
      </c>
    </row>
    <row r="120" ht="15.75" customHeight="1">
      <c r="C120" s="9" t="s">
        <v>448</v>
      </c>
      <c r="D120" s="8" t="s">
        <v>449</v>
      </c>
      <c r="E120" s="8">
        <v>2.0</v>
      </c>
      <c r="AB120" s="7">
        <v>109.0</v>
      </c>
      <c r="AC120" s="8" t="s">
        <v>450</v>
      </c>
      <c r="AD120" s="8" t="s">
        <v>439</v>
      </c>
    </row>
    <row r="121" ht="15.75" customHeight="1">
      <c r="C121" s="9" t="s">
        <v>451</v>
      </c>
      <c r="D121" s="8" t="s">
        <v>452</v>
      </c>
      <c r="E121" s="8">
        <v>1.0</v>
      </c>
      <c r="AB121" s="7">
        <v>110.0</v>
      </c>
      <c r="AC121" s="8" t="s">
        <v>453</v>
      </c>
      <c r="AD121" s="8">
        <v>1.0</v>
      </c>
    </row>
    <row r="122" ht="15.75" customHeight="1">
      <c r="AB122" s="10">
        <v>111.0</v>
      </c>
      <c r="AC122" s="10" t="s">
        <v>454</v>
      </c>
      <c r="AD122" s="11">
        <v>1.5</v>
      </c>
    </row>
    <row r="123" ht="15.75" customHeight="1">
      <c r="AB123" s="12"/>
      <c r="AC123" s="12"/>
      <c r="AD123" s="8" t="s">
        <v>455</v>
      </c>
    </row>
    <row r="124" ht="15.75" customHeight="1">
      <c r="AB124" s="7">
        <v>112.0</v>
      </c>
      <c r="AC124" s="8" t="s">
        <v>456</v>
      </c>
      <c r="AD124" s="8">
        <v>1.0</v>
      </c>
    </row>
    <row r="125" ht="15.75" customHeight="1">
      <c r="AB125" s="7">
        <v>113.0</v>
      </c>
      <c r="AC125" s="8" t="s">
        <v>457</v>
      </c>
      <c r="AD125" s="8">
        <v>1.0</v>
      </c>
    </row>
    <row r="126" ht="15.75" customHeight="1">
      <c r="AB126" s="7">
        <v>114.0</v>
      </c>
      <c r="AC126" s="8" t="s">
        <v>458</v>
      </c>
      <c r="AD126" s="8">
        <v>1.0</v>
      </c>
    </row>
    <row r="127" ht="15.75" customHeight="1">
      <c r="AB127" s="7">
        <v>115.0</v>
      </c>
      <c r="AC127" s="8" t="s">
        <v>459</v>
      </c>
      <c r="AD127" s="8">
        <v>1.0</v>
      </c>
    </row>
    <row r="128" ht="15.75" customHeight="1">
      <c r="AB128" s="7">
        <v>116.0</v>
      </c>
      <c r="AC128" s="8" t="s">
        <v>100</v>
      </c>
      <c r="AD128" s="8">
        <v>1.0</v>
      </c>
    </row>
    <row r="129" ht="15.75" customHeight="1">
      <c r="AB129" s="7">
        <v>117.0</v>
      </c>
      <c r="AC129" s="8" t="s">
        <v>460</v>
      </c>
      <c r="AD129" s="8" t="s">
        <v>461</v>
      </c>
    </row>
    <row r="130" ht="15.75" customHeight="1">
      <c r="AB130" s="7">
        <v>118.0</v>
      </c>
      <c r="AC130" s="8" t="s">
        <v>462</v>
      </c>
      <c r="AD130" s="8" t="s">
        <v>461</v>
      </c>
    </row>
    <row r="131" ht="15.75" customHeight="1">
      <c r="AB131" s="7">
        <v>119.0</v>
      </c>
      <c r="AC131" s="8" t="s">
        <v>463</v>
      </c>
      <c r="AD131" s="8">
        <v>11.0</v>
      </c>
    </row>
    <row r="132" ht="15.75" customHeight="1">
      <c r="AB132" s="7">
        <v>120.0</v>
      </c>
      <c r="AC132" s="8" t="s">
        <v>464</v>
      </c>
      <c r="AD132" s="8">
        <v>1.0</v>
      </c>
    </row>
    <row r="133" ht="15.75" customHeight="1">
      <c r="AB133" s="7">
        <v>121.0</v>
      </c>
      <c r="AC133" s="8" t="s">
        <v>465</v>
      </c>
      <c r="AD133" s="14"/>
    </row>
    <row r="134" ht="15.75" customHeight="1">
      <c r="AB134" s="7">
        <v>122.0</v>
      </c>
      <c r="AC134" s="17" t="s">
        <v>466</v>
      </c>
      <c r="AD134" s="8">
        <v>22.0</v>
      </c>
    </row>
    <row r="135" ht="15.75" customHeight="1">
      <c r="AB135" s="7">
        <v>123.0</v>
      </c>
      <c r="AC135" s="8" t="s">
        <v>467</v>
      </c>
      <c r="AD135" s="8">
        <v>4.0</v>
      </c>
    </row>
    <row r="136" ht="15.75" customHeight="1">
      <c r="AB136" s="7">
        <v>124.0</v>
      </c>
      <c r="AC136" s="8" t="s">
        <v>468</v>
      </c>
      <c r="AD136" s="8">
        <v>4.0</v>
      </c>
    </row>
    <row r="137" ht="15.75" customHeight="1">
      <c r="AB137" s="7">
        <v>125.0</v>
      </c>
      <c r="AC137" s="8" t="s">
        <v>469</v>
      </c>
      <c r="AD137" s="8">
        <v>4.0</v>
      </c>
    </row>
    <row r="138" ht="15.75" customHeight="1">
      <c r="AB138" s="7">
        <v>126.0</v>
      </c>
      <c r="AC138" s="8" t="s">
        <v>470</v>
      </c>
      <c r="AD138" s="8">
        <v>5.0</v>
      </c>
    </row>
    <row r="139" ht="15.75" customHeight="1">
      <c r="AB139" s="7">
        <v>127.0</v>
      </c>
      <c r="AC139" s="8" t="s">
        <v>471</v>
      </c>
      <c r="AD139" s="8">
        <v>5.0</v>
      </c>
    </row>
    <row r="140" ht="15.75" customHeight="1">
      <c r="AB140" s="7">
        <v>128.0</v>
      </c>
      <c r="AC140" s="8" t="s">
        <v>472</v>
      </c>
      <c r="AD140" s="8">
        <v>7.0</v>
      </c>
    </row>
    <row r="141" ht="15.75" customHeight="1">
      <c r="AB141" s="10">
        <v>129.0</v>
      </c>
      <c r="AC141" s="10" t="s">
        <v>473</v>
      </c>
      <c r="AD141" s="11" t="s">
        <v>474</v>
      </c>
    </row>
    <row r="142" ht="15.75" customHeight="1">
      <c r="AB142" s="12"/>
      <c r="AC142" s="12"/>
      <c r="AD142" s="8" t="s">
        <v>475</v>
      </c>
    </row>
    <row r="143" ht="15.75" customHeight="1">
      <c r="AB143" s="7">
        <v>130.0</v>
      </c>
      <c r="AC143" s="8" t="s">
        <v>476</v>
      </c>
      <c r="AD143" s="8" t="s">
        <v>439</v>
      </c>
    </row>
    <row r="144" ht="15.75" customHeight="1">
      <c r="AB144" s="7">
        <v>131.0</v>
      </c>
      <c r="AC144" s="8" t="s">
        <v>477</v>
      </c>
      <c r="AD144" s="8">
        <v>1.0</v>
      </c>
    </row>
    <row r="145" ht="15.75" customHeight="1">
      <c r="AB145" s="7">
        <v>132.0</v>
      </c>
      <c r="AC145" s="8" t="s">
        <v>478</v>
      </c>
      <c r="AD145" s="8">
        <v>7.0</v>
      </c>
    </row>
    <row r="146" ht="15.75" customHeight="1">
      <c r="AB146" s="7">
        <v>133.0</v>
      </c>
      <c r="AC146" s="8" t="s">
        <v>479</v>
      </c>
      <c r="AD146" s="8">
        <v>1.0</v>
      </c>
    </row>
    <row r="147" ht="15.75" customHeight="1">
      <c r="AB147" s="7">
        <v>134.0</v>
      </c>
      <c r="AC147" s="8" t="s">
        <v>480</v>
      </c>
      <c r="AD147" s="8" t="s">
        <v>258</v>
      </c>
    </row>
    <row r="148" ht="15.75" customHeight="1">
      <c r="AB148" s="18"/>
      <c r="AC148" s="8" t="s">
        <v>481</v>
      </c>
      <c r="AD148" s="14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B57:AB58"/>
    <mergeCell ref="AB59:AB60"/>
    <mergeCell ref="AC59:AC60"/>
    <mergeCell ref="AB122:AB123"/>
    <mergeCell ref="AC122:AC123"/>
    <mergeCell ref="AB141:AB142"/>
    <mergeCell ref="AC141:AC142"/>
    <mergeCell ref="C18:C19"/>
    <mergeCell ref="E18:E19"/>
    <mergeCell ref="C22:C23"/>
    <mergeCell ref="E22:E23"/>
    <mergeCell ref="AB55:AB56"/>
    <mergeCell ref="AD55:AD56"/>
    <mergeCell ref="AC57:AC5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.86"/>
    <col customWidth="1" min="4" max="4" width="4.57"/>
    <col customWidth="1" min="5" max="5" width="4.14"/>
    <col customWidth="1" min="6" max="6" width="32.29"/>
    <col customWidth="1" min="7" max="9" width="8.71"/>
    <col customWidth="1" min="10" max="10" width="4.29"/>
    <col customWidth="1" min="11" max="11" width="38.14"/>
    <col customWidth="1" min="12" max="14" width="8.71"/>
    <col customWidth="1" min="15" max="15" width="4.71"/>
    <col customWidth="1" min="16" max="16" width="34.0"/>
    <col customWidth="1" min="17" max="19" width="8.71"/>
    <col customWidth="1" min="20" max="20" width="5.29"/>
    <col customWidth="1" min="21" max="21" width="31.0"/>
    <col customWidth="1" min="22" max="24" width="8.71"/>
    <col customWidth="1" min="25" max="25" width="4.43"/>
    <col customWidth="1" min="26" max="26" width="28.43"/>
    <col customWidth="1" min="27" max="29" width="8.71"/>
    <col customWidth="1" min="30" max="30" width="4.57"/>
    <col customWidth="1" min="31" max="31" width="33.86"/>
    <col customWidth="1" min="32" max="34" width="8.71"/>
    <col customWidth="1" min="35" max="35" width="4.71"/>
    <col customWidth="1" min="36" max="36" width="32.57"/>
    <col customWidth="1" min="37" max="39" width="8.71"/>
    <col customWidth="1" min="40" max="40" width="4.86"/>
    <col customWidth="1" min="41" max="41" width="33.57"/>
    <col customWidth="1" min="42" max="44" width="8.71"/>
    <col customWidth="1" min="45" max="45" width="4.14"/>
    <col customWidth="1" min="46" max="46" width="34.71"/>
    <col customWidth="1" min="47" max="49" width="8.71"/>
    <col customWidth="1" min="50" max="50" width="5.0"/>
    <col customWidth="1" min="51" max="51" width="43.43"/>
    <col customWidth="1" min="52" max="52" width="13.86"/>
    <col customWidth="1" min="53" max="58" width="8.71"/>
  </cols>
  <sheetData>
    <row r="3">
      <c r="E3" s="19" t="s">
        <v>482</v>
      </c>
      <c r="F3" s="20"/>
      <c r="K3" s="21" t="s">
        <v>483</v>
      </c>
      <c r="O3" s="21" t="s">
        <v>484</v>
      </c>
      <c r="T3" s="21" t="s">
        <v>485</v>
      </c>
      <c r="Y3" s="21" t="s">
        <v>486</v>
      </c>
      <c r="AD3" s="21" t="s">
        <v>487</v>
      </c>
      <c r="AI3" s="21" t="s">
        <v>488</v>
      </c>
      <c r="AN3" s="21" t="s">
        <v>489</v>
      </c>
      <c r="AS3" s="21" t="s">
        <v>490</v>
      </c>
      <c r="AX3" s="21" t="s">
        <v>491</v>
      </c>
    </row>
    <row r="4" ht="28.5" customHeight="1"/>
    <row r="5" ht="17.25" customHeight="1">
      <c r="E5" s="10" t="s">
        <v>8</v>
      </c>
      <c r="F5" s="22" t="s">
        <v>492</v>
      </c>
      <c r="G5" s="10" t="s">
        <v>10</v>
      </c>
      <c r="J5" s="10" t="s">
        <v>8</v>
      </c>
      <c r="K5" s="22" t="s">
        <v>492</v>
      </c>
      <c r="L5" s="10" t="s">
        <v>10</v>
      </c>
      <c r="O5" s="10" t="s">
        <v>8</v>
      </c>
      <c r="P5" s="22" t="s">
        <v>492</v>
      </c>
      <c r="Q5" s="10" t="s">
        <v>10</v>
      </c>
      <c r="T5" s="10" t="s">
        <v>8</v>
      </c>
      <c r="U5" s="22" t="s">
        <v>492</v>
      </c>
      <c r="V5" s="10" t="s">
        <v>10</v>
      </c>
      <c r="Y5" s="10" t="s">
        <v>8</v>
      </c>
      <c r="Z5" s="22" t="s">
        <v>492</v>
      </c>
      <c r="AA5" s="10" t="s">
        <v>10</v>
      </c>
      <c r="AD5" s="10" t="s">
        <v>8</v>
      </c>
      <c r="AE5" s="22" t="s">
        <v>492</v>
      </c>
      <c r="AF5" s="10" t="s">
        <v>10</v>
      </c>
      <c r="AI5" s="10" t="s">
        <v>8</v>
      </c>
      <c r="AJ5" s="22" t="s">
        <v>492</v>
      </c>
      <c r="AK5" s="10" t="s">
        <v>10</v>
      </c>
      <c r="AN5" s="10" t="s">
        <v>8</v>
      </c>
      <c r="AO5" s="22" t="s">
        <v>492</v>
      </c>
      <c r="AP5" s="10" t="s">
        <v>10</v>
      </c>
      <c r="AS5" s="10" t="s">
        <v>8</v>
      </c>
      <c r="AT5" s="22" t="s">
        <v>492</v>
      </c>
      <c r="AU5" s="10" t="s">
        <v>10</v>
      </c>
      <c r="AX5" s="10" t="s">
        <v>8</v>
      </c>
      <c r="AY5" s="22" t="s">
        <v>492</v>
      </c>
      <c r="AZ5" s="10" t="s">
        <v>10</v>
      </c>
    </row>
    <row r="6">
      <c r="A6" s="23"/>
      <c r="B6" s="23"/>
      <c r="E6" s="24"/>
      <c r="F6" s="24"/>
      <c r="G6" s="24"/>
      <c r="H6" s="23"/>
      <c r="I6" s="23"/>
      <c r="J6" s="24"/>
      <c r="K6" s="24"/>
      <c r="L6" s="24"/>
      <c r="M6" s="23"/>
      <c r="N6" s="23"/>
      <c r="O6" s="24"/>
      <c r="P6" s="24"/>
      <c r="Q6" s="24"/>
      <c r="R6" s="23"/>
      <c r="S6" s="23"/>
      <c r="T6" s="24"/>
      <c r="U6" s="24"/>
      <c r="V6" s="24"/>
      <c r="W6" s="23"/>
      <c r="X6" s="23"/>
      <c r="Y6" s="24"/>
      <c r="Z6" s="24"/>
      <c r="AA6" s="24"/>
      <c r="AB6" s="23"/>
      <c r="AC6" s="23"/>
      <c r="AD6" s="24"/>
      <c r="AE6" s="24"/>
      <c r="AF6" s="24"/>
      <c r="AG6" s="23"/>
      <c r="AH6" s="23"/>
      <c r="AI6" s="24"/>
      <c r="AJ6" s="24"/>
      <c r="AK6" s="24"/>
      <c r="AL6" s="23"/>
      <c r="AM6" s="23"/>
      <c r="AN6" s="24"/>
      <c r="AO6" s="24"/>
      <c r="AP6" s="24"/>
      <c r="AQ6" s="23"/>
      <c r="AR6" s="23"/>
      <c r="AS6" s="24"/>
      <c r="AT6" s="24"/>
      <c r="AU6" s="24"/>
      <c r="AV6" s="23"/>
      <c r="AW6" s="23"/>
      <c r="AX6" s="24"/>
      <c r="AY6" s="24"/>
      <c r="AZ6" s="24"/>
      <c r="BA6" s="23"/>
      <c r="BB6" s="23"/>
      <c r="BC6" s="23"/>
      <c r="BD6" s="23"/>
      <c r="BE6" s="23"/>
      <c r="BF6" s="23"/>
    </row>
    <row r="7">
      <c r="E7" s="12"/>
      <c r="F7" s="12"/>
      <c r="G7" s="12"/>
      <c r="J7" s="12"/>
      <c r="K7" s="12"/>
      <c r="L7" s="12"/>
      <c r="O7" s="12"/>
      <c r="P7" s="12"/>
      <c r="Q7" s="12"/>
      <c r="T7" s="12"/>
      <c r="U7" s="12"/>
      <c r="V7" s="12"/>
      <c r="Y7" s="12"/>
      <c r="Z7" s="12"/>
      <c r="AA7" s="12"/>
      <c r="AD7" s="12"/>
      <c r="AE7" s="12"/>
      <c r="AF7" s="12"/>
      <c r="AI7" s="12"/>
      <c r="AJ7" s="12"/>
      <c r="AK7" s="12"/>
      <c r="AN7" s="12"/>
      <c r="AO7" s="12"/>
      <c r="AP7" s="12"/>
      <c r="AS7" s="12"/>
      <c r="AT7" s="12"/>
      <c r="AU7" s="12"/>
      <c r="AX7" s="12"/>
      <c r="AY7" s="12"/>
      <c r="AZ7" s="12"/>
    </row>
    <row r="8">
      <c r="E8" s="7">
        <v>1.0</v>
      </c>
      <c r="F8" s="8" t="s">
        <v>493</v>
      </c>
      <c r="G8" s="8">
        <v>2.0</v>
      </c>
      <c r="J8" s="7">
        <v>1.0</v>
      </c>
      <c r="K8" s="8" t="s">
        <v>493</v>
      </c>
      <c r="L8" s="8">
        <v>3.0</v>
      </c>
      <c r="O8" s="7">
        <v>1.0</v>
      </c>
      <c r="P8" s="8" t="s">
        <v>494</v>
      </c>
      <c r="Q8" s="8">
        <v>2.0</v>
      </c>
      <c r="T8" s="7">
        <v>1.0</v>
      </c>
      <c r="U8" s="8" t="s">
        <v>493</v>
      </c>
      <c r="V8" s="8">
        <v>2.0</v>
      </c>
      <c r="Y8" s="7">
        <v>1.0</v>
      </c>
      <c r="Z8" s="8" t="s">
        <v>495</v>
      </c>
      <c r="AA8" s="8">
        <v>3.0</v>
      </c>
      <c r="AD8" s="7">
        <v>1.0</v>
      </c>
      <c r="AE8" s="8" t="s">
        <v>151</v>
      </c>
      <c r="AF8" s="8">
        <v>1.0</v>
      </c>
      <c r="AI8" s="7">
        <v>1.0</v>
      </c>
      <c r="AJ8" s="8" t="s">
        <v>496</v>
      </c>
      <c r="AK8" s="8">
        <v>3.0</v>
      </c>
      <c r="AN8" s="7">
        <v>1.0</v>
      </c>
      <c r="AO8" s="8" t="s">
        <v>493</v>
      </c>
      <c r="AP8" s="8">
        <v>3.0</v>
      </c>
      <c r="AS8" s="7">
        <v>1.0</v>
      </c>
      <c r="AT8" s="8" t="s">
        <v>27</v>
      </c>
      <c r="AU8" s="8">
        <v>3.0</v>
      </c>
      <c r="AX8" s="7">
        <v>1.0</v>
      </c>
      <c r="AY8" s="8" t="s">
        <v>27</v>
      </c>
      <c r="AZ8" s="8">
        <v>3.0</v>
      </c>
    </row>
    <row r="9">
      <c r="E9" s="7">
        <f t="shared" ref="E9:E70" si="1">E8+1</f>
        <v>2</v>
      </c>
      <c r="F9" s="8" t="s">
        <v>25</v>
      </c>
      <c r="G9" s="8">
        <v>2.0</v>
      </c>
      <c r="J9" s="7">
        <f t="shared" ref="J9:J28" si="2">J8+1</f>
        <v>2</v>
      </c>
      <c r="K9" s="8" t="s">
        <v>497</v>
      </c>
      <c r="L9" s="8">
        <v>1.0</v>
      </c>
      <c r="O9" s="7">
        <f t="shared" ref="O9:O34" si="3">O8+1</f>
        <v>2</v>
      </c>
      <c r="P9" s="8" t="s">
        <v>25</v>
      </c>
      <c r="Q9" s="8">
        <v>2.0</v>
      </c>
      <c r="T9" s="7">
        <f t="shared" ref="T9:T27" si="4">T8+1</f>
        <v>2</v>
      </c>
      <c r="U9" s="8" t="s">
        <v>25</v>
      </c>
      <c r="V9" s="8">
        <v>2.0</v>
      </c>
      <c r="Y9" s="7">
        <f t="shared" ref="Y9:Y24" si="5">Y8+1</f>
        <v>2</v>
      </c>
      <c r="Z9" s="8" t="s">
        <v>343</v>
      </c>
      <c r="AA9" s="8">
        <v>2.0</v>
      </c>
      <c r="AD9" s="7">
        <f t="shared" ref="AD9:AD23" si="6">AD8+1</f>
        <v>2</v>
      </c>
      <c r="AE9" s="8" t="s">
        <v>498</v>
      </c>
      <c r="AF9" s="8">
        <v>1.0</v>
      </c>
      <c r="AI9" s="7">
        <f t="shared" ref="AI9:AI22" si="7">AI8+1</f>
        <v>2</v>
      </c>
      <c r="AJ9" s="8" t="s">
        <v>499</v>
      </c>
      <c r="AK9" s="8"/>
      <c r="AN9" s="7">
        <f t="shared" ref="AN9:AN32" si="8">AN8+1</f>
        <v>2</v>
      </c>
      <c r="AO9" s="8" t="s">
        <v>500</v>
      </c>
      <c r="AP9" s="8">
        <v>2.0</v>
      </c>
      <c r="AS9" s="7">
        <f t="shared" ref="AS9:AS17" si="9">AS8+1</f>
        <v>2</v>
      </c>
      <c r="AT9" s="8" t="s">
        <v>501</v>
      </c>
      <c r="AU9" s="8"/>
      <c r="AX9" s="7">
        <f t="shared" ref="AX9:AX27" si="10">+AX8+1</f>
        <v>2</v>
      </c>
      <c r="AY9" s="8" t="s">
        <v>502</v>
      </c>
      <c r="AZ9" s="8"/>
    </row>
    <row r="10">
      <c r="E10" s="7">
        <f t="shared" si="1"/>
        <v>3</v>
      </c>
      <c r="F10" s="8" t="s">
        <v>503</v>
      </c>
      <c r="G10" s="8">
        <v>2.0</v>
      </c>
      <c r="J10" s="7">
        <f t="shared" si="2"/>
        <v>3</v>
      </c>
      <c r="K10" s="8" t="s">
        <v>504</v>
      </c>
      <c r="L10" s="8">
        <v>1.0</v>
      </c>
      <c r="O10" s="7">
        <f t="shared" si="3"/>
        <v>3</v>
      </c>
      <c r="P10" s="8" t="s">
        <v>191</v>
      </c>
      <c r="Q10" s="8">
        <v>1.0</v>
      </c>
      <c r="T10" s="7">
        <f t="shared" si="4"/>
        <v>3</v>
      </c>
      <c r="U10" s="8" t="s">
        <v>191</v>
      </c>
      <c r="V10" s="8"/>
      <c r="Y10" s="7">
        <f t="shared" si="5"/>
        <v>3</v>
      </c>
      <c r="Z10" s="8" t="s">
        <v>505</v>
      </c>
      <c r="AA10" s="8">
        <v>2.0</v>
      </c>
      <c r="AD10" s="7">
        <f t="shared" si="6"/>
        <v>3</v>
      </c>
      <c r="AE10" s="8" t="s">
        <v>506</v>
      </c>
      <c r="AF10" s="8">
        <v>2.0</v>
      </c>
      <c r="AI10" s="7">
        <f t="shared" si="7"/>
        <v>3</v>
      </c>
      <c r="AJ10" s="8" t="s">
        <v>507</v>
      </c>
      <c r="AK10" s="8">
        <v>1.0</v>
      </c>
      <c r="AN10" s="7">
        <f t="shared" si="8"/>
        <v>3</v>
      </c>
      <c r="AO10" s="8" t="s">
        <v>508</v>
      </c>
      <c r="AP10" s="8">
        <v>2.0</v>
      </c>
      <c r="AS10" s="7">
        <f t="shared" si="9"/>
        <v>3</v>
      </c>
      <c r="AT10" s="8" t="s">
        <v>509</v>
      </c>
      <c r="AU10" s="8"/>
      <c r="AX10" s="7">
        <f t="shared" si="10"/>
        <v>3</v>
      </c>
      <c r="AY10" s="8" t="s">
        <v>510</v>
      </c>
      <c r="AZ10" s="8">
        <v>92.0</v>
      </c>
    </row>
    <row r="11">
      <c r="E11" s="7">
        <f t="shared" si="1"/>
        <v>4</v>
      </c>
      <c r="F11" s="8" t="s">
        <v>511</v>
      </c>
      <c r="G11" s="8">
        <v>2.0</v>
      </c>
      <c r="J11" s="7">
        <f t="shared" si="2"/>
        <v>4</v>
      </c>
      <c r="K11" s="8" t="s">
        <v>70</v>
      </c>
      <c r="L11" s="8">
        <v>2.0</v>
      </c>
      <c r="O11" s="7">
        <f t="shared" si="3"/>
        <v>4</v>
      </c>
      <c r="P11" s="8" t="s">
        <v>151</v>
      </c>
      <c r="Q11" s="8">
        <v>2.0</v>
      </c>
      <c r="T11" s="7">
        <f t="shared" si="4"/>
        <v>4</v>
      </c>
      <c r="U11" s="8" t="s">
        <v>512</v>
      </c>
      <c r="V11" s="8">
        <v>1.0</v>
      </c>
      <c r="Y11" s="7">
        <f t="shared" si="5"/>
        <v>4</v>
      </c>
      <c r="Z11" s="8" t="s">
        <v>513</v>
      </c>
      <c r="AA11" s="8"/>
      <c r="AD11" s="7">
        <f t="shared" si="6"/>
        <v>4</v>
      </c>
      <c r="AE11" s="8" t="s">
        <v>514</v>
      </c>
      <c r="AF11" s="8">
        <v>2.0</v>
      </c>
      <c r="AI11" s="7">
        <f t="shared" si="7"/>
        <v>4</v>
      </c>
      <c r="AJ11" s="8" t="s">
        <v>515</v>
      </c>
      <c r="AK11" s="8">
        <v>1.0</v>
      </c>
      <c r="AN11" s="7">
        <f t="shared" si="8"/>
        <v>4</v>
      </c>
      <c r="AO11" s="8" t="s">
        <v>516</v>
      </c>
      <c r="AP11" s="8">
        <v>1.0</v>
      </c>
      <c r="AS11" s="7">
        <f t="shared" si="9"/>
        <v>4</v>
      </c>
      <c r="AT11" s="8" t="s">
        <v>517</v>
      </c>
      <c r="AU11" s="8"/>
      <c r="AX11" s="7">
        <f t="shared" si="10"/>
        <v>4</v>
      </c>
      <c r="AY11" s="8" t="s">
        <v>518</v>
      </c>
      <c r="AZ11" s="8"/>
    </row>
    <row r="12">
      <c r="E12" s="7">
        <f t="shared" si="1"/>
        <v>5</v>
      </c>
      <c r="F12" s="8" t="s">
        <v>519</v>
      </c>
      <c r="G12" s="8"/>
      <c r="J12" s="7">
        <f t="shared" si="2"/>
        <v>5</v>
      </c>
      <c r="K12" s="8" t="s">
        <v>511</v>
      </c>
      <c r="L12" s="8">
        <v>2.0</v>
      </c>
      <c r="O12" s="7">
        <f t="shared" si="3"/>
        <v>5</v>
      </c>
      <c r="P12" s="8" t="s">
        <v>324</v>
      </c>
      <c r="Q12" s="8">
        <v>2.0</v>
      </c>
      <c r="T12" s="7">
        <f t="shared" si="4"/>
        <v>5</v>
      </c>
      <c r="U12" s="8" t="s">
        <v>520</v>
      </c>
      <c r="V12" s="8">
        <v>1.0</v>
      </c>
      <c r="Y12" s="7">
        <f t="shared" si="5"/>
        <v>5</v>
      </c>
      <c r="Z12" s="8" t="s">
        <v>49</v>
      </c>
      <c r="AA12" s="8">
        <v>2.0</v>
      </c>
      <c r="AD12" s="7">
        <f t="shared" si="6"/>
        <v>5</v>
      </c>
      <c r="AE12" s="8" t="s">
        <v>521</v>
      </c>
      <c r="AF12" s="8"/>
      <c r="AI12" s="7">
        <f t="shared" si="7"/>
        <v>5</v>
      </c>
      <c r="AJ12" s="8" t="s">
        <v>522</v>
      </c>
      <c r="AK12" s="8"/>
      <c r="AN12" s="7">
        <f t="shared" si="8"/>
        <v>5</v>
      </c>
      <c r="AO12" s="8" t="s">
        <v>523</v>
      </c>
      <c r="AP12" s="8">
        <v>1.0</v>
      </c>
      <c r="AS12" s="7">
        <f t="shared" si="9"/>
        <v>5</v>
      </c>
      <c r="AT12" s="8" t="s">
        <v>524</v>
      </c>
      <c r="AU12" s="8">
        <v>0.0</v>
      </c>
      <c r="AX12" s="7">
        <f t="shared" si="10"/>
        <v>5</v>
      </c>
      <c r="AY12" s="8" t="s">
        <v>72</v>
      </c>
      <c r="AZ12" s="8">
        <v>7.0</v>
      </c>
    </row>
    <row r="13">
      <c r="E13" s="7">
        <f t="shared" si="1"/>
        <v>6</v>
      </c>
      <c r="F13" s="8" t="s">
        <v>525</v>
      </c>
      <c r="G13" s="8"/>
      <c r="J13" s="7">
        <f t="shared" si="2"/>
        <v>6</v>
      </c>
      <c r="K13" s="8" t="s">
        <v>526</v>
      </c>
      <c r="L13" s="8">
        <v>2.0</v>
      </c>
      <c r="O13" s="7">
        <f t="shared" si="3"/>
        <v>6</v>
      </c>
      <c r="P13" s="8" t="s">
        <v>527</v>
      </c>
      <c r="Q13" s="8">
        <v>2.0</v>
      </c>
      <c r="T13" s="7">
        <f t="shared" si="4"/>
        <v>6</v>
      </c>
      <c r="U13" s="8" t="s">
        <v>528</v>
      </c>
      <c r="V13" s="8">
        <v>1.0</v>
      </c>
      <c r="Y13" s="7">
        <f t="shared" si="5"/>
        <v>6</v>
      </c>
      <c r="Z13" s="8" t="s">
        <v>373</v>
      </c>
      <c r="AA13" s="8">
        <v>1.0</v>
      </c>
      <c r="AD13" s="7">
        <f t="shared" si="6"/>
        <v>6</v>
      </c>
      <c r="AE13" s="8" t="s">
        <v>529</v>
      </c>
      <c r="AF13" s="8">
        <v>2.0</v>
      </c>
      <c r="AI13" s="7">
        <f t="shared" si="7"/>
        <v>6</v>
      </c>
      <c r="AJ13" s="8"/>
      <c r="AK13" s="8"/>
      <c r="AN13" s="7">
        <f t="shared" si="8"/>
        <v>6</v>
      </c>
      <c r="AO13" s="8" t="s">
        <v>530</v>
      </c>
      <c r="AP13" s="8">
        <v>1.0</v>
      </c>
      <c r="AS13" s="7">
        <f t="shared" si="9"/>
        <v>6</v>
      </c>
      <c r="AT13" s="8"/>
      <c r="AU13" s="8"/>
      <c r="AX13" s="7">
        <f t="shared" si="10"/>
        <v>6</v>
      </c>
      <c r="AY13" s="8" t="s">
        <v>531</v>
      </c>
      <c r="AZ13" s="8" t="s">
        <v>532</v>
      </c>
    </row>
    <row r="14">
      <c r="E14" s="7">
        <f t="shared" si="1"/>
        <v>7</v>
      </c>
      <c r="F14" s="8" t="s">
        <v>533</v>
      </c>
      <c r="G14" s="8"/>
      <c r="J14" s="7">
        <f t="shared" si="2"/>
        <v>7</v>
      </c>
      <c r="K14" s="8" t="s">
        <v>369</v>
      </c>
      <c r="L14" s="8">
        <v>1.0</v>
      </c>
      <c r="O14" s="7">
        <f t="shared" si="3"/>
        <v>7</v>
      </c>
      <c r="P14" s="8" t="s">
        <v>534</v>
      </c>
      <c r="Q14" s="8">
        <v>2.0</v>
      </c>
      <c r="T14" s="7">
        <f t="shared" si="4"/>
        <v>7</v>
      </c>
      <c r="U14" s="8" t="s">
        <v>535</v>
      </c>
      <c r="V14" s="8">
        <v>2.0</v>
      </c>
      <c r="Y14" s="7">
        <f t="shared" si="5"/>
        <v>7</v>
      </c>
      <c r="Z14" s="8" t="s">
        <v>536</v>
      </c>
      <c r="AA14" s="8">
        <v>2.0</v>
      </c>
      <c r="AD14" s="7">
        <f t="shared" si="6"/>
        <v>7</v>
      </c>
      <c r="AE14" s="8" t="s">
        <v>537</v>
      </c>
      <c r="AF14" s="8"/>
      <c r="AI14" s="7">
        <f t="shared" si="7"/>
        <v>7</v>
      </c>
      <c r="AJ14" s="8"/>
      <c r="AK14" s="8"/>
      <c r="AN14" s="7">
        <f t="shared" si="8"/>
        <v>7</v>
      </c>
      <c r="AO14" s="8" t="s">
        <v>538</v>
      </c>
      <c r="AP14" s="8">
        <v>2.0</v>
      </c>
      <c r="AS14" s="7">
        <f t="shared" si="9"/>
        <v>7</v>
      </c>
      <c r="AT14" s="8"/>
      <c r="AU14" s="8"/>
      <c r="AX14" s="7">
        <f t="shared" si="10"/>
        <v>7</v>
      </c>
      <c r="AY14" s="8" t="s">
        <v>539</v>
      </c>
      <c r="AZ14" s="8"/>
    </row>
    <row r="15">
      <c r="E15" s="7">
        <f t="shared" si="1"/>
        <v>8</v>
      </c>
      <c r="F15" s="8" t="s">
        <v>49</v>
      </c>
      <c r="G15" s="8">
        <v>2.0</v>
      </c>
      <c r="J15" s="7">
        <f t="shared" si="2"/>
        <v>8</v>
      </c>
      <c r="K15" s="8" t="s">
        <v>513</v>
      </c>
      <c r="L15" s="8">
        <v>1.0</v>
      </c>
      <c r="O15" s="7">
        <f t="shared" si="3"/>
        <v>8</v>
      </c>
      <c r="P15" s="8" t="s">
        <v>352</v>
      </c>
      <c r="Q15" s="8">
        <v>1.0</v>
      </c>
      <c r="T15" s="7">
        <f t="shared" si="4"/>
        <v>8</v>
      </c>
      <c r="U15" s="8" t="s">
        <v>540</v>
      </c>
      <c r="V15" s="8"/>
      <c r="Y15" s="7">
        <f t="shared" si="5"/>
        <v>8</v>
      </c>
      <c r="Z15" s="8" t="s">
        <v>151</v>
      </c>
      <c r="AA15" s="8">
        <v>2.0</v>
      </c>
      <c r="AD15" s="7">
        <f t="shared" si="6"/>
        <v>8</v>
      </c>
      <c r="AE15" s="8" t="s">
        <v>541</v>
      </c>
      <c r="AF15" s="8">
        <v>1.0</v>
      </c>
      <c r="AI15" s="7">
        <f t="shared" si="7"/>
        <v>8</v>
      </c>
      <c r="AJ15" s="8"/>
      <c r="AK15" s="8"/>
      <c r="AN15" s="7">
        <f t="shared" si="8"/>
        <v>8</v>
      </c>
      <c r="AO15" s="8" t="s">
        <v>373</v>
      </c>
      <c r="AP15" s="8">
        <v>0.0</v>
      </c>
      <c r="AS15" s="7">
        <f t="shared" si="9"/>
        <v>8</v>
      </c>
      <c r="AT15" s="8"/>
      <c r="AU15" s="8"/>
      <c r="AX15" s="7">
        <f t="shared" si="10"/>
        <v>8</v>
      </c>
      <c r="AY15" s="8" t="s">
        <v>542</v>
      </c>
      <c r="AZ15" s="8" t="s">
        <v>543</v>
      </c>
    </row>
    <row r="16">
      <c r="E16" s="7">
        <f t="shared" si="1"/>
        <v>9</v>
      </c>
      <c r="F16" s="8" t="s">
        <v>175</v>
      </c>
      <c r="G16" s="8"/>
      <c r="J16" s="7">
        <f t="shared" si="2"/>
        <v>9</v>
      </c>
      <c r="K16" s="8" t="s">
        <v>544</v>
      </c>
      <c r="L16" s="8">
        <v>2.0</v>
      </c>
      <c r="O16" s="7">
        <f t="shared" si="3"/>
        <v>9</v>
      </c>
      <c r="P16" s="8" t="s">
        <v>49</v>
      </c>
      <c r="Q16" s="8">
        <v>2.0</v>
      </c>
      <c r="T16" s="7">
        <f t="shared" si="4"/>
        <v>9</v>
      </c>
      <c r="U16" s="8" t="s">
        <v>545</v>
      </c>
      <c r="V16" s="8">
        <v>1.0</v>
      </c>
      <c r="Y16" s="7">
        <f t="shared" si="5"/>
        <v>9</v>
      </c>
      <c r="Z16" s="8" t="s">
        <v>158</v>
      </c>
      <c r="AA16" s="8">
        <v>2.0</v>
      </c>
      <c r="AD16" s="7">
        <f t="shared" si="6"/>
        <v>9</v>
      </c>
      <c r="AE16" s="8" t="s">
        <v>546</v>
      </c>
      <c r="AF16" s="8">
        <v>2.0</v>
      </c>
      <c r="AI16" s="7">
        <f t="shared" si="7"/>
        <v>9</v>
      </c>
      <c r="AJ16" s="8"/>
      <c r="AK16" s="8"/>
      <c r="AN16" s="7">
        <f t="shared" si="8"/>
        <v>9</v>
      </c>
      <c r="AO16" s="8" t="s">
        <v>547</v>
      </c>
      <c r="AP16" s="8">
        <v>2.0</v>
      </c>
      <c r="AS16" s="7">
        <f t="shared" si="9"/>
        <v>9</v>
      </c>
      <c r="AT16" s="8"/>
      <c r="AU16" s="8"/>
      <c r="AX16" s="7">
        <f t="shared" si="10"/>
        <v>9</v>
      </c>
      <c r="AY16" s="8" t="s">
        <v>216</v>
      </c>
      <c r="AZ16" s="8">
        <v>7.0</v>
      </c>
    </row>
    <row r="17">
      <c r="E17" s="7">
        <f t="shared" si="1"/>
        <v>10</v>
      </c>
      <c r="F17" s="8" t="s">
        <v>181</v>
      </c>
      <c r="G17" s="8"/>
      <c r="J17" s="7">
        <f t="shared" si="2"/>
        <v>10</v>
      </c>
      <c r="K17" s="8" t="s">
        <v>49</v>
      </c>
      <c r="L17" s="8">
        <v>2.0</v>
      </c>
      <c r="O17" s="7">
        <f t="shared" si="3"/>
        <v>10</v>
      </c>
      <c r="P17" s="8" t="s">
        <v>548</v>
      </c>
      <c r="Q17" s="8">
        <v>2.0</v>
      </c>
      <c r="T17" s="7">
        <f t="shared" si="4"/>
        <v>10</v>
      </c>
      <c r="U17" s="8" t="s">
        <v>513</v>
      </c>
      <c r="V17" s="8">
        <v>1.0</v>
      </c>
      <c r="Y17" s="7">
        <f t="shared" si="5"/>
        <v>10</v>
      </c>
      <c r="Z17" s="8" t="s">
        <v>369</v>
      </c>
      <c r="AA17" s="8">
        <v>1.0</v>
      </c>
      <c r="AD17" s="7">
        <f t="shared" si="6"/>
        <v>10</v>
      </c>
      <c r="AE17" s="8" t="s">
        <v>49</v>
      </c>
      <c r="AF17" s="8">
        <v>2.0</v>
      </c>
      <c r="AI17" s="7">
        <f t="shared" si="7"/>
        <v>10</v>
      </c>
      <c r="AJ17" s="8"/>
      <c r="AK17" s="8"/>
      <c r="AN17" s="7">
        <f t="shared" si="8"/>
        <v>10</v>
      </c>
      <c r="AO17" s="8" t="s">
        <v>549</v>
      </c>
      <c r="AP17" s="8">
        <v>2.0</v>
      </c>
      <c r="AS17" s="7">
        <f t="shared" si="9"/>
        <v>10</v>
      </c>
      <c r="AT17" s="8"/>
      <c r="AU17" s="8"/>
      <c r="AX17" s="7">
        <f t="shared" si="10"/>
        <v>10</v>
      </c>
      <c r="AY17" s="8" t="s">
        <v>550</v>
      </c>
      <c r="AZ17" s="8" t="s">
        <v>543</v>
      </c>
    </row>
    <row r="18">
      <c r="E18" s="7">
        <f t="shared" si="1"/>
        <v>11</v>
      </c>
      <c r="F18" s="8" t="s">
        <v>551</v>
      </c>
      <c r="G18" s="8"/>
      <c r="J18" s="7">
        <f t="shared" si="2"/>
        <v>11</v>
      </c>
      <c r="K18" s="8" t="s">
        <v>548</v>
      </c>
      <c r="L18" s="8">
        <v>2.0</v>
      </c>
      <c r="O18" s="7">
        <f t="shared" si="3"/>
        <v>11</v>
      </c>
      <c r="P18" s="8" t="s">
        <v>511</v>
      </c>
      <c r="Q18" s="8">
        <v>2.0</v>
      </c>
      <c r="T18" s="7">
        <f t="shared" si="4"/>
        <v>11</v>
      </c>
      <c r="U18" s="8" t="s">
        <v>552</v>
      </c>
      <c r="V18" s="8">
        <v>2.0</v>
      </c>
      <c r="Y18" s="7">
        <f t="shared" si="5"/>
        <v>11</v>
      </c>
      <c r="Z18" s="8" t="s">
        <v>546</v>
      </c>
      <c r="AA18" s="8">
        <v>2.0</v>
      </c>
      <c r="AD18" s="7">
        <f t="shared" si="6"/>
        <v>11</v>
      </c>
      <c r="AE18" s="8"/>
      <c r="AF18" s="8"/>
      <c r="AI18" s="7">
        <f t="shared" si="7"/>
        <v>11</v>
      </c>
      <c r="AJ18" s="8"/>
      <c r="AK18" s="8"/>
      <c r="AN18" s="7">
        <f t="shared" si="8"/>
        <v>11</v>
      </c>
      <c r="AO18" s="8" t="s">
        <v>553</v>
      </c>
      <c r="AP18" s="8">
        <v>1.0</v>
      </c>
      <c r="AX18" s="7">
        <f t="shared" si="10"/>
        <v>11</v>
      </c>
      <c r="AY18" s="8" t="s">
        <v>129</v>
      </c>
      <c r="AZ18" s="8">
        <v>5.0</v>
      </c>
    </row>
    <row r="19">
      <c r="E19" s="7">
        <f t="shared" si="1"/>
        <v>12</v>
      </c>
      <c r="F19" s="8" t="s">
        <v>554</v>
      </c>
      <c r="G19" s="8"/>
      <c r="J19" s="7">
        <f t="shared" si="2"/>
        <v>12</v>
      </c>
      <c r="K19" s="8" t="s">
        <v>288</v>
      </c>
      <c r="L19" s="8">
        <v>2.0</v>
      </c>
      <c r="O19" s="7">
        <f t="shared" si="3"/>
        <v>12</v>
      </c>
      <c r="P19" s="8" t="s">
        <v>555</v>
      </c>
      <c r="Q19" s="8">
        <v>2.0</v>
      </c>
      <c r="T19" s="7">
        <f t="shared" si="4"/>
        <v>12</v>
      </c>
      <c r="U19" s="8" t="s">
        <v>556</v>
      </c>
      <c r="V19" s="8">
        <v>2.0</v>
      </c>
      <c r="Y19" s="7">
        <f t="shared" si="5"/>
        <v>12</v>
      </c>
      <c r="Z19" s="8"/>
      <c r="AA19" s="8"/>
      <c r="AD19" s="7">
        <f t="shared" si="6"/>
        <v>12</v>
      </c>
      <c r="AE19" s="8"/>
      <c r="AF19" s="8"/>
      <c r="AI19" s="7">
        <f t="shared" si="7"/>
        <v>12</v>
      </c>
      <c r="AJ19" s="8"/>
      <c r="AK19" s="8"/>
      <c r="AN19" s="7">
        <f t="shared" si="8"/>
        <v>12</v>
      </c>
      <c r="AO19" s="8" t="s">
        <v>557</v>
      </c>
      <c r="AP19" s="8"/>
      <c r="AX19" s="7">
        <f t="shared" si="10"/>
        <v>12</v>
      </c>
      <c r="AY19" s="8" t="s">
        <v>558</v>
      </c>
      <c r="AZ19" s="8"/>
    </row>
    <row r="20">
      <c r="E20" s="7">
        <f t="shared" si="1"/>
        <v>13</v>
      </c>
      <c r="F20" s="8" t="s">
        <v>559</v>
      </c>
      <c r="G20" s="8">
        <v>3.0</v>
      </c>
      <c r="J20" s="7">
        <f t="shared" si="2"/>
        <v>13</v>
      </c>
      <c r="K20" s="8" t="s">
        <v>560</v>
      </c>
      <c r="L20" s="8">
        <v>2.0</v>
      </c>
      <c r="O20" s="7">
        <f t="shared" si="3"/>
        <v>13</v>
      </c>
      <c r="P20" s="8" t="s">
        <v>561</v>
      </c>
      <c r="Q20" s="8"/>
      <c r="T20" s="7">
        <f t="shared" si="4"/>
        <v>13</v>
      </c>
      <c r="U20" s="8"/>
      <c r="V20" s="8"/>
      <c r="Y20" s="7">
        <f t="shared" si="5"/>
        <v>13</v>
      </c>
      <c r="Z20" s="8"/>
      <c r="AA20" s="8"/>
      <c r="AD20" s="7">
        <f t="shared" si="6"/>
        <v>13</v>
      </c>
      <c r="AE20" s="8"/>
      <c r="AF20" s="8"/>
      <c r="AI20" s="7">
        <f t="shared" si="7"/>
        <v>13</v>
      </c>
      <c r="AJ20" s="8"/>
      <c r="AK20" s="8"/>
      <c r="AN20" s="7">
        <f t="shared" si="8"/>
        <v>13</v>
      </c>
      <c r="AO20" s="8" t="s">
        <v>499</v>
      </c>
      <c r="AP20" s="8"/>
      <c r="AX20" s="7">
        <f t="shared" si="10"/>
        <v>13</v>
      </c>
      <c r="AY20" s="8" t="s">
        <v>153</v>
      </c>
      <c r="AZ20" s="8"/>
    </row>
    <row r="21" ht="15.75" customHeight="1">
      <c r="E21" s="7">
        <f t="shared" si="1"/>
        <v>14</v>
      </c>
      <c r="F21" s="8" t="s">
        <v>219</v>
      </c>
      <c r="G21" s="8">
        <v>3.0</v>
      </c>
      <c r="J21" s="7">
        <f t="shared" si="2"/>
        <v>14</v>
      </c>
      <c r="K21" s="8" t="s">
        <v>556</v>
      </c>
      <c r="L21" s="8">
        <v>2.0</v>
      </c>
      <c r="O21" s="7">
        <f t="shared" si="3"/>
        <v>14</v>
      </c>
      <c r="P21" s="8" t="s">
        <v>562</v>
      </c>
      <c r="Q21" s="8"/>
      <c r="T21" s="7">
        <f t="shared" si="4"/>
        <v>14</v>
      </c>
      <c r="U21" s="8"/>
      <c r="V21" s="8"/>
      <c r="Y21" s="7">
        <f t="shared" si="5"/>
        <v>14</v>
      </c>
      <c r="Z21" s="8"/>
      <c r="AA21" s="8"/>
      <c r="AD21" s="7">
        <f t="shared" si="6"/>
        <v>14</v>
      </c>
      <c r="AE21" s="8"/>
      <c r="AF21" s="8"/>
      <c r="AI21" s="7">
        <f t="shared" si="7"/>
        <v>14</v>
      </c>
      <c r="AJ21" s="8"/>
      <c r="AK21" s="8"/>
      <c r="AN21" s="7">
        <f t="shared" si="8"/>
        <v>14</v>
      </c>
      <c r="AO21" s="8" t="s">
        <v>507</v>
      </c>
      <c r="AP21" s="8">
        <v>1.0</v>
      </c>
      <c r="AX21" s="7">
        <f t="shared" si="10"/>
        <v>14</v>
      </c>
      <c r="AY21" s="8" t="s">
        <v>563</v>
      </c>
      <c r="AZ21" s="8"/>
    </row>
    <row r="22" ht="15.75" customHeight="1">
      <c r="E22" s="7">
        <f t="shared" si="1"/>
        <v>15</v>
      </c>
      <c r="F22" s="8" t="s">
        <v>564</v>
      </c>
      <c r="G22" s="8"/>
      <c r="J22" s="7">
        <f t="shared" si="2"/>
        <v>15</v>
      </c>
      <c r="K22" s="8" t="s">
        <v>565</v>
      </c>
      <c r="L22" s="8">
        <v>2.0</v>
      </c>
      <c r="O22" s="7">
        <f t="shared" si="3"/>
        <v>15</v>
      </c>
      <c r="P22" s="8" t="s">
        <v>566</v>
      </c>
      <c r="Q22" s="8"/>
      <c r="T22" s="7">
        <f t="shared" si="4"/>
        <v>15</v>
      </c>
      <c r="U22" s="8"/>
      <c r="V22" s="8"/>
      <c r="Y22" s="7">
        <f t="shared" si="5"/>
        <v>15</v>
      </c>
      <c r="Z22" s="8"/>
      <c r="AA22" s="8"/>
      <c r="AD22" s="7">
        <f t="shared" si="6"/>
        <v>15</v>
      </c>
      <c r="AE22" s="8"/>
      <c r="AF22" s="8"/>
      <c r="AI22" s="7">
        <f t="shared" si="7"/>
        <v>15</v>
      </c>
      <c r="AJ22" s="8"/>
      <c r="AK22" s="8"/>
      <c r="AN22" s="7">
        <f t="shared" si="8"/>
        <v>15</v>
      </c>
      <c r="AO22" s="8"/>
      <c r="AP22" s="8"/>
      <c r="AX22" s="7">
        <f t="shared" si="10"/>
        <v>15</v>
      </c>
      <c r="AY22" s="8" t="s">
        <v>567</v>
      </c>
      <c r="AZ22" s="8">
        <v>15.0</v>
      </c>
    </row>
    <row r="23" ht="15.75" customHeight="1">
      <c r="E23" s="7">
        <f t="shared" si="1"/>
        <v>16</v>
      </c>
      <c r="F23" s="8" t="s">
        <v>568</v>
      </c>
      <c r="G23" s="8">
        <v>2.0</v>
      </c>
      <c r="J23" s="7">
        <f t="shared" si="2"/>
        <v>16</v>
      </c>
      <c r="K23" s="8" t="s">
        <v>569</v>
      </c>
      <c r="L23" s="8">
        <v>2.0</v>
      </c>
      <c r="O23" s="7">
        <f t="shared" si="3"/>
        <v>16</v>
      </c>
      <c r="P23" s="8" t="s">
        <v>570</v>
      </c>
      <c r="Q23" s="8"/>
      <c r="T23" s="7">
        <f t="shared" si="4"/>
        <v>16</v>
      </c>
      <c r="U23" s="8"/>
      <c r="V23" s="8"/>
      <c r="Y23" s="7">
        <f t="shared" si="5"/>
        <v>16</v>
      </c>
      <c r="Z23" s="8"/>
      <c r="AA23" s="8"/>
      <c r="AD23" s="7">
        <f t="shared" si="6"/>
        <v>16</v>
      </c>
      <c r="AE23" s="8"/>
      <c r="AF23" s="8"/>
      <c r="AN23" s="7">
        <f t="shared" si="8"/>
        <v>16</v>
      </c>
      <c r="AO23" s="8"/>
      <c r="AP23" s="8"/>
      <c r="AX23" s="7">
        <f t="shared" si="10"/>
        <v>16</v>
      </c>
      <c r="AY23" s="8" t="s">
        <v>571</v>
      </c>
      <c r="AZ23" s="8"/>
    </row>
    <row r="24" ht="15.75" customHeight="1">
      <c r="E24" s="7">
        <f t="shared" si="1"/>
        <v>17</v>
      </c>
      <c r="F24" s="8" t="s">
        <v>70</v>
      </c>
      <c r="G24" s="8"/>
      <c r="J24" s="7">
        <f t="shared" si="2"/>
        <v>17</v>
      </c>
      <c r="K24" s="8" t="s">
        <v>572</v>
      </c>
      <c r="L24" s="8">
        <v>3.0</v>
      </c>
      <c r="O24" s="7">
        <f t="shared" si="3"/>
        <v>17</v>
      </c>
      <c r="P24" s="8" t="s">
        <v>373</v>
      </c>
      <c r="Q24" s="8">
        <v>1.0</v>
      </c>
      <c r="T24" s="7">
        <f t="shared" si="4"/>
        <v>17</v>
      </c>
      <c r="U24" s="8"/>
      <c r="V24" s="8"/>
      <c r="Y24" s="7">
        <f t="shared" si="5"/>
        <v>17</v>
      </c>
      <c r="Z24" s="8"/>
      <c r="AA24" s="8"/>
      <c r="AN24" s="7">
        <f t="shared" si="8"/>
        <v>17</v>
      </c>
      <c r="AO24" s="8"/>
      <c r="AP24" s="8"/>
      <c r="AX24" s="7">
        <f t="shared" si="10"/>
        <v>17</v>
      </c>
      <c r="AY24" s="8" t="s">
        <v>573</v>
      </c>
      <c r="AZ24" s="8">
        <v>6.0</v>
      </c>
      <c r="BF24" s="25">
        <v>3.0</v>
      </c>
    </row>
    <row r="25" ht="15.75" customHeight="1">
      <c r="E25" s="7">
        <f t="shared" si="1"/>
        <v>18</v>
      </c>
      <c r="F25" s="8" t="s">
        <v>447</v>
      </c>
      <c r="G25" s="8">
        <v>1.0</v>
      </c>
      <c r="J25" s="7">
        <f t="shared" si="2"/>
        <v>18</v>
      </c>
      <c r="K25" s="8"/>
      <c r="L25" s="8"/>
      <c r="O25" s="7">
        <f t="shared" si="3"/>
        <v>18</v>
      </c>
      <c r="P25" s="8" t="s">
        <v>574</v>
      </c>
      <c r="Q25" s="8">
        <v>1.0</v>
      </c>
      <c r="T25" s="7">
        <f t="shared" si="4"/>
        <v>18</v>
      </c>
      <c r="U25" s="8"/>
      <c r="V25" s="8"/>
      <c r="AN25" s="7">
        <f t="shared" si="8"/>
        <v>18</v>
      </c>
      <c r="AO25" s="8"/>
      <c r="AP25" s="8"/>
      <c r="AX25" s="7">
        <f t="shared" si="10"/>
        <v>18</v>
      </c>
      <c r="AY25" s="8" t="s">
        <v>172</v>
      </c>
      <c r="AZ25" s="8"/>
    </row>
    <row r="26" ht="15.75" customHeight="1">
      <c r="E26" s="7">
        <f t="shared" si="1"/>
        <v>19</v>
      </c>
      <c r="F26" s="8" t="s">
        <v>575</v>
      </c>
      <c r="G26" s="8">
        <v>1.0</v>
      </c>
      <c r="J26" s="7">
        <f t="shared" si="2"/>
        <v>19</v>
      </c>
      <c r="K26" s="8"/>
      <c r="L26" s="8"/>
      <c r="O26" s="7">
        <f t="shared" si="3"/>
        <v>19</v>
      </c>
      <c r="P26" s="8" t="s">
        <v>369</v>
      </c>
      <c r="Q26" s="8">
        <v>1.0</v>
      </c>
      <c r="T26" s="7">
        <f t="shared" si="4"/>
        <v>19</v>
      </c>
      <c r="U26" s="8"/>
      <c r="V26" s="8"/>
      <c r="AN26" s="7">
        <f t="shared" si="8"/>
        <v>19</v>
      </c>
      <c r="AO26" s="8"/>
      <c r="AP26" s="8"/>
      <c r="AX26" s="7">
        <f t="shared" si="10"/>
        <v>19</v>
      </c>
      <c r="AY26" s="8"/>
      <c r="AZ26" s="8"/>
    </row>
    <row r="27" ht="15.75" customHeight="1">
      <c r="E27" s="7">
        <f t="shared" si="1"/>
        <v>20</v>
      </c>
      <c r="F27" s="8" t="s">
        <v>576</v>
      </c>
      <c r="G27" s="8">
        <v>1.0</v>
      </c>
      <c r="J27" s="7">
        <f t="shared" si="2"/>
        <v>20</v>
      </c>
      <c r="K27" s="8"/>
      <c r="L27" s="8"/>
      <c r="O27" s="7">
        <f t="shared" si="3"/>
        <v>20</v>
      </c>
      <c r="P27" s="8" t="s">
        <v>503</v>
      </c>
      <c r="Q27" s="8">
        <v>2.0</v>
      </c>
      <c r="T27" s="7">
        <f t="shared" si="4"/>
        <v>20</v>
      </c>
      <c r="U27" s="8"/>
      <c r="V27" s="8"/>
      <c r="AN27" s="7">
        <f t="shared" si="8"/>
        <v>20</v>
      </c>
      <c r="AO27" s="8"/>
      <c r="AP27" s="8"/>
      <c r="AX27" s="7">
        <f t="shared" si="10"/>
        <v>20</v>
      </c>
      <c r="AY27" s="8"/>
      <c r="AZ27" s="8"/>
    </row>
    <row r="28" ht="15.75" customHeight="1">
      <c r="E28" s="7">
        <f t="shared" si="1"/>
        <v>21</v>
      </c>
      <c r="F28" s="8" t="s">
        <v>577</v>
      </c>
      <c r="G28" s="8">
        <v>1.0</v>
      </c>
      <c r="J28" s="7">
        <f t="shared" si="2"/>
        <v>21</v>
      </c>
      <c r="K28" s="8"/>
      <c r="L28" s="8"/>
      <c r="O28" s="7">
        <f t="shared" si="3"/>
        <v>21</v>
      </c>
      <c r="P28" s="8" t="s">
        <v>578</v>
      </c>
      <c r="Q28" s="8"/>
      <c r="AN28" s="7">
        <f t="shared" si="8"/>
        <v>21</v>
      </c>
      <c r="AO28" s="8"/>
      <c r="AP28" s="8"/>
    </row>
    <row r="29" ht="15.75" customHeight="1">
      <c r="E29" s="7">
        <f t="shared" si="1"/>
        <v>22</v>
      </c>
      <c r="F29" s="8" t="s">
        <v>579</v>
      </c>
      <c r="G29" s="8">
        <v>2.0</v>
      </c>
      <c r="O29" s="7">
        <f t="shared" si="3"/>
        <v>22</v>
      </c>
      <c r="P29" s="8" t="s">
        <v>572</v>
      </c>
      <c r="Q29" s="8">
        <v>2.0</v>
      </c>
      <c r="AN29" s="7">
        <f t="shared" si="8"/>
        <v>22</v>
      </c>
      <c r="AO29" s="8"/>
      <c r="AP29" s="8"/>
    </row>
    <row r="30" ht="15.75" customHeight="1">
      <c r="E30" s="7">
        <f t="shared" si="1"/>
        <v>23</v>
      </c>
      <c r="F30" s="8" t="s">
        <v>580</v>
      </c>
      <c r="G30" s="8">
        <v>2.0</v>
      </c>
      <c r="O30" s="7">
        <f t="shared" si="3"/>
        <v>23</v>
      </c>
      <c r="P30" s="8" t="s">
        <v>581</v>
      </c>
      <c r="Q30" s="8">
        <v>1.0</v>
      </c>
      <c r="AN30" s="7">
        <f t="shared" si="8"/>
        <v>23</v>
      </c>
      <c r="AO30" s="8"/>
      <c r="AP30" s="8"/>
    </row>
    <row r="31" ht="15.75" customHeight="1">
      <c r="E31" s="7">
        <f t="shared" si="1"/>
        <v>24</v>
      </c>
      <c r="F31" s="8" t="s">
        <v>561</v>
      </c>
      <c r="G31" s="8">
        <v>2.0</v>
      </c>
      <c r="O31" s="7">
        <f t="shared" si="3"/>
        <v>24</v>
      </c>
      <c r="P31" s="8" t="s">
        <v>582</v>
      </c>
      <c r="Q31" s="8">
        <v>2.0</v>
      </c>
      <c r="AN31" s="7">
        <f t="shared" si="8"/>
        <v>24</v>
      </c>
      <c r="AO31" s="8"/>
      <c r="AP31" s="8"/>
    </row>
    <row r="32" ht="15.75" customHeight="1">
      <c r="E32" s="7">
        <f t="shared" si="1"/>
        <v>25</v>
      </c>
      <c r="F32" s="8" t="s">
        <v>369</v>
      </c>
      <c r="G32" s="8">
        <v>1.0</v>
      </c>
      <c r="O32" s="7">
        <f t="shared" si="3"/>
        <v>25</v>
      </c>
      <c r="P32" s="8" t="s">
        <v>583</v>
      </c>
      <c r="Q32" s="8">
        <v>2.0</v>
      </c>
      <c r="AN32" s="7">
        <f t="shared" si="8"/>
        <v>25</v>
      </c>
      <c r="AO32" s="8"/>
      <c r="AP32" s="8"/>
    </row>
    <row r="33" ht="15.75" customHeight="1">
      <c r="E33" s="7">
        <f t="shared" si="1"/>
        <v>26</v>
      </c>
      <c r="F33" s="8" t="s">
        <v>584</v>
      </c>
      <c r="G33" s="8"/>
      <c r="O33" s="7">
        <f t="shared" si="3"/>
        <v>26</v>
      </c>
      <c r="P33" s="8" t="s">
        <v>585</v>
      </c>
      <c r="Q33" s="8">
        <v>2.0</v>
      </c>
    </row>
    <row r="34" ht="15.75" customHeight="1">
      <c r="E34" s="7">
        <f t="shared" si="1"/>
        <v>27</v>
      </c>
      <c r="F34" s="8" t="s">
        <v>586</v>
      </c>
      <c r="G34" s="8"/>
      <c r="O34" s="7">
        <f t="shared" si="3"/>
        <v>27</v>
      </c>
      <c r="P34" s="8" t="s">
        <v>49</v>
      </c>
      <c r="Q34" s="8">
        <v>2.0</v>
      </c>
    </row>
    <row r="35" ht="15.75" customHeight="1">
      <c r="E35" s="7">
        <f t="shared" si="1"/>
        <v>28</v>
      </c>
      <c r="F35" s="8" t="s">
        <v>587</v>
      </c>
      <c r="G35" s="8"/>
    </row>
    <row r="36" ht="15.75" customHeight="1">
      <c r="E36" s="7">
        <f t="shared" si="1"/>
        <v>29</v>
      </c>
      <c r="F36" s="8" t="s">
        <v>588</v>
      </c>
      <c r="G36" s="8">
        <v>1.0</v>
      </c>
    </row>
    <row r="37" ht="15.75" customHeight="1">
      <c r="E37" s="7">
        <f t="shared" si="1"/>
        <v>30</v>
      </c>
      <c r="F37" s="8" t="s">
        <v>589</v>
      </c>
      <c r="G37" s="8"/>
      <c r="R37" s="25">
        <v>2.0</v>
      </c>
    </row>
    <row r="38" ht="15.75" customHeight="1">
      <c r="E38" s="7">
        <f t="shared" si="1"/>
        <v>31</v>
      </c>
      <c r="F38" s="8" t="s">
        <v>590</v>
      </c>
      <c r="G38" s="8"/>
    </row>
    <row r="39" ht="15.75" customHeight="1">
      <c r="E39" s="7">
        <f t="shared" si="1"/>
        <v>32</v>
      </c>
      <c r="F39" s="8" t="s">
        <v>591</v>
      </c>
      <c r="G39" s="8"/>
    </row>
    <row r="40" ht="15.75" customHeight="1">
      <c r="E40" s="7">
        <f t="shared" si="1"/>
        <v>33</v>
      </c>
      <c r="F40" s="8" t="s">
        <v>592</v>
      </c>
      <c r="G40" s="8"/>
    </row>
    <row r="41" ht="15.75" customHeight="1">
      <c r="E41" s="7">
        <f t="shared" si="1"/>
        <v>34</v>
      </c>
      <c r="F41" s="8" t="s">
        <v>593</v>
      </c>
      <c r="G41" s="8"/>
    </row>
    <row r="42" ht="15.75" customHeight="1">
      <c r="E42" s="7">
        <f t="shared" si="1"/>
        <v>35</v>
      </c>
      <c r="F42" s="8" t="s">
        <v>594</v>
      </c>
      <c r="G42" s="8"/>
    </row>
    <row r="43" ht="15.75" customHeight="1">
      <c r="E43" s="7">
        <f t="shared" si="1"/>
        <v>36</v>
      </c>
      <c r="F43" s="8" t="s">
        <v>402</v>
      </c>
      <c r="G43" s="8">
        <v>1.0</v>
      </c>
    </row>
    <row r="44" ht="15.75" customHeight="1">
      <c r="E44" s="7">
        <f t="shared" si="1"/>
        <v>37</v>
      </c>
      <c r="F44" s="8" t="s">
        <v>156</v>
      </c>
      <c r="G44" s="8">
        <v>4.0</v>
      </c>
    </row>
    <row r="45" ht="15.75" customHeight="1">
      <c r="E45" s="7">
        <f t="shared" si="1"/>
        <v>38</v>
      </c>
      <c r="F45" s="8" t="s">
        <v>595</v>
      </c>
      <c r="G45" s="8">
        <v>1.0</v>
      </c>
    </row>
    <row r="46" ht="15.75" customHeight="1">
      <c r="E46" s="7">
        <f t="shared" si="1"/>
        <v>39</v>
      </c>
      <c r="F46" s="8" t="s">
        <v>596</v>
      </c>
      <c r="G46" s="8">
        <v>1.0</v>
      </c>
    </row>
    <row r="47" ht="15.75" customHeight="1">
      <c r="E47" s="7">
        <f t="shared" si="1"/>
        <v>40</v>
      </c>
      <c r="F47" s="8" t="s">
        <v>597</v>
      </c>
      <c r="G47" s="8">
        <v>2.0</v>
      </c>
    </row>
    <row r="48" ht="15.75" customHeight="1">
      <c r="E48" s="7">
        <f t="shared" si="1"/>
        <v>41</v>
      </c>
      <c r="F48" s="8" t="s">
        <v>598</v>
      </c>
      <c r="G48" s="8">
        <v>1.0</v>
      </c>
    </row>
    <row r="49" ht="15.75" customHeight="1">
      <c r="E49" s="7">
        <f t="shared" si="1"/>
        <v>42</v>
      </c>
      <c r="F49" s="8" t="s">
        <v>599</v>
      </c>
      <c r="G49" s="8"/>
    </row>
    <row r="50" ht="15.75" customHeight="1">
      <c r="E50" s="7">
        <f t="shared" si="1"/>
        <v>43</v>
      </c>
      <c r="F50" s="8" t="s">
        <v>600</v>
      </c>
      <c r="G50" s="8"/>
    </row>
    <row r="51" ht="15.75" customHeight="1">
      <c r="E51" s="7">
        <f t="shared" si="1"/>
        <v>44</v>
      </c>
      <c r="F51" s="8" t="s">
        <v>601</v>
      </c>
      <c r="G51" s="8"/>
    </row>
    <row r="52" ht="15.75" customHeight="1">
      <c r="E52" s="7">
        <f t="shared" si="1"/>
        <v>45</v>
      </c>
      <c r="F52" s="8" t="s">
        <v>601</v>
      </c>
      <c r="G52" s="8"/>
    </row>
    <row r="53" ht="15.75" customHeight="1">
      <c r="E53" s="7">
        <f t="shared" si="1"/>
        <v>46</v>
      </c>
      <c r="F53" s="8" t="s">
        <v>602</v>
      </c>
      <c r="G53" s="8"/>
    </row>
    <row r="54" ht="15.75" customHeight="1">
      <c r="E54" s="7">
        <f t="shared" si="1"/>
        <v>47</v>
      </c>
      <c r="F54" s="8" t="s">
        <v>603</v>
      </c>
      <c r="G54" s="8"/>
    </row>
    <row r="55" ht="15.75" customHeight="1">
      <c r="E55" s="7">
        <f t="shared" si="1"/>
        <v>48</v>
      </c>
      <c r="F55" s="8" t="s">
        <v>604</v>
      </c>
      <c r="G55" s="8">
        <v>1.0</v>
      </c>
    </row>
    <row r="56" ht="15.75" customHeight="1">
      <c r="E56" s="7">
        <f t="shared" si="1"/>
        <v>49</v>
      </c>
      <c r="F56" s="8" t="s">
        <v>605</v>
      </c>
      <c r="G56" s="8">
        <v>1.0</v>
      </c>
    </row>
    <row r="57" ht="15.75" customHeight="1">
      <c r="E57" s="7">
        <f t="shared" si="1"/>
        <v>50</v>
      </c>
      <c r="F57" s="8" t="s">
        <v>606</v>
      </c>
      <c r="G57" s="8">
        <v>1.0</v>
      </c>
    </row>
    <row r="58" ht="15.75" customHeight="1">
      <c r="E58" s="7">
        <f t="shared" si="1"/>
        <v>51</v>
      </c>
      <c r="F58" s="8" t="s">
        <v>607</v>
      </c>
      <c r="G58" s="8">
        <v>1.0</v>
      </c>
    </row>
    <row r="59" ht="15.75" customHeight="1">
      <c r="E59" s="7">
        <f t="shared" si="1"/>
        <v>52</v>
      </c>
      <c r="F59" s="8" t="s">
        <v>608</v>
      </c>
      <c r="G59" s="8">
        <v>1.0</v>
      </c>
    </row>
    <row r="60" ht="15.75" customHeight="1">
      <c r="E60" s="7">
        <f t="shared" si="1"/>
        <v>53</v>
      </c>
      <c r="F60" s="8" t="s">
        <v>609</v>
      </c>
      <c r="G60" s="8">
        <v>3.0</v>
      </c>
    </row>
    <row r="61" ht="15.75" customHeight="1">
      <c r="E61" s="7">
        <f t="shared" si="1"/>
        <v>54</v>
      </c>
      <c r="F61" s="8" t="s">
        <v>610</v>
      </c>
      <c r="G61" s="8">
        <v>1.0</v>
      </c>
    </row>
    <row r="62" ht="15.75" customHeight="1">
      <c r="E62" s="7">
        <f t="shared" si="1"/>
        <v>55</v>
      </c>
      <c r="F62" s="8" t="s">
        <v>611</v>
      </c>
      <c r="G62" s="8"/>
    </row>
    <row r="63" ht="15.75" customHeight="1">
      <c r="E63" s="7">
        <f t="shared" si="1"/>
        <v>56</v>
      </c>
      <c r="F63" s="8" t="s">
        <v>352</v>
      </c>
      <c r="G63" s="8">
        <v>1.0</v>
      </c>
    </row>
    <row r="64" ht="15.75" customHeight="1">
      <c r="E64" s="7">
        <f t="shared" si="1"/>
        <v>57</v>
      </c>
      <c r="F64" s="8" t="s">
        <v>343</v>
      </c>
      <c r="G64" s="8">
        <v>1.0</v>
      </c>
    </row>
    <row r="65" ht="15.75" customHeight="1">
      <c r="E65" s="7">
        <f t="shared" si="1"/>
        <v>58</v>
      </c>
      <c r="F65" s="8" t="s">
        <v>612</v>
      </c>
      <c r="G65" s="8"/>
    </row>
    <row r="66" ht="15.75" customHeight="1">
      <c r="E66" s="7">
        <f t="shared" si="1"/>
        <v>59</v>
      </c>
      <c r="F66" s="8" t="s">
        <v>613</v>
      </c>
      <c r="G66" s="8">
        <v>2.0</v>
      </c>
    </row>
    <row r="67" ht="15.75" customHeight="1">
      <c r="E67" s="7">
        <f t="shared" si="1"/>
        <v>60</v>
      </c>
      <c r="F67" s="8" t="s">
        <v>614</v>
      </c>
      <c r="G67" s="8">
        <v>1.0</v>
      </c>
    </row>
    <row r="68" ht="15.75" customHeight="1">
      <c r="E68" s="7">
        <f t="shared" si="1"/>
        <v>61</v>
      </c>
      <c r="F68" s="8" t="s">
        <v>572</v>
      </c>
      <c r="G68" s="8">
        <v>2.0</v>
      </c>
    </row>
    <row r="69" ht="15.75" customHeight="1">
      <c r="E69" s="7">
        <f t="shared" si="1"/>
        <v>62</v>
      </c>
      <c r="F69" s="8" t="s">
        <v>615</v>
      </c>
      <c r="G69" s="8"/>
    </row>
    <row r="70" ht="15.75" customHeight="1">
      <c r="E70" s="7">
        <f t="shared" si="1"/>
        <v>63</v>
      </c>
      <c r="F70" s="8"/>
      <c r="G70" s="8"/>
    </row>
    <row r="71" ht="15.75" customHeight="1">
      <c r="E71" s="7"/>
      <c r="F71" s="8"/>
      <c r="G71" s="8"/>
    </row>
    <row r="72" ht="15.75" customHeight="1">
      <c r="E72" s="7"/>
      <c r="F72" s="8"/>
      <c r="G72" s="8"/>
    </row>
    <row r="73" ht="15.75" customHeight="1">
      <c r="E73" s="7"/>
      <c r="F73" s="8"/>
      <c r="G73" s="8"/>
    </row>
    <row r="74" ht="15.75" customHeight="1">
      <c r="E74" s="7"/>
      <c r="F74" s="8"/>
      <c r="G74" s="8"/>
    </row>
    <row r="75" ht="15.75" customHeight="1">
      <c r="E75" s="7"/>
      <c r="F75" s="8"/>
      <c r="G75" s="8"/>
    </row>
    <row r="76" ht="15.75" customHeight="1">
      <c r="E76" s="7"/>
      <c r="F76" s="8"/>
      <c r="G76" s="8"/>
    </row>
    <row r="77" ht="15.75" customHeight="1">
      <c r="E77" s="7"/>
      <c r="F77" s="8"/>
      <c r="G77" s="8"/>
    </row>
    <row r="78" ht="15.75" customHeight="1">
      <c r="E78" s="7"/>
      <c r="F78" s="8"/>
      <c r="G78" s="8"/>
    </row>
    <row r="79" ht="15.75" customHeight="1">
      <c r="E79" s="7"/>
      <c r="F79" s="8"/>
      <c r="G79" s="8"/>
    </row>
    <row r="80" ht="15.75" customHeight="1">
      <c r="E80" s="7"/>
      <c r="F80" s="8"/>
      <c r="G80" s="8"/>
    </row>
    <row r="81" ht="15.75" customHeight="1">
      <c r="E81" s="7"/>
      <c r="F81" s="8"/>
      <c r="G81" s="8"/>
    </row>
    <row r="82" ht="15.75" customHeight="1">
      <c r="E82" s="7"/>
      <c r="F82" s="8"/>
      <c r="G82" s="8"/>
    </row>
    <row r="83" ht="15.75" customHeight="1">
      <c r="E83" s="7"/>
      <c r="F83" s="8"/>
      <c r="G83" s="8"/>
    </row>
    <row r="84" ht="15.75" customHeight="1">
      <c r="E84" s="7"/>
      <c r="F84" s="8"/>
      <c r="G84" s="8"/>
    </row>
    <row r="85" ht="15.75" customHeight="1">
      <c r="E85" s="7"/>
      <c r="F85" s="8"/>
      <c r="G85" s="8"/>
    </row>
    <row r="86" ht="15.75" customHeight="1">
      <c r="E86" s="7"/>
      <c r="F86" s="8"/>
      <c r="G86" s="8"/>
    </row>
    <row r="87" ht="15.75" customHeight="1">
      <c r="E87" s="7"/>
      <c r="F87" s="8"/>
      <c r="G87" s="8"/>
    </row>
    <row r="88" ht="15.75" customHeight="1">
      <c r="E88" s="7"/>
      <c r="F88" s="8"/>
      <c r="G88" s="8"/>
    </row>
    <row r="89" ht="15.75" customHeight="1">
      <c r="E89" s="7"/>
      <c r="F89" s="8"/>
      <c r="G89" s="8"/>
    </row>
    <row r="90" ht="15.75" customHeight="1">
      <c r="E90" s="7"/>
      <c r="F90" s="8"/>
      <c r="G90" s="8"/>
    </row>
    <row r="91" ht="15.75" customHeight="1">
      <c r="E91" s="7"/>
      <c r="F91" s="8"/>
      <c r="G91" s="8"/>
    </row>
    <row r="92" ht="15.75" customHeight="1">
      <c r="E92" s="7"/>
      <c r="F92" s="8"/>
      <c r="G92" s="8"/>
    </row>
    <row r="93" ht="15.75" customHeight="1">
      <c r="E93" s="7"/>
      <c r="F93" s="8"/>
      <c r="G93" s="8"/>
    </row>
    <row r="94" ht="15.75" customHeight="1">
      <c r="E94" s="7"/>
      <c r="F94" s="8"/>
      <c r="G94" s="8"/>
    </row>
    <row r="95" ht="15.75" customHeight="1">
      <c r="E95" s="7"/>
      <c r="F95" s="8"/>
      <c r="G95" s="8"/>
    </row>
    <row r="96" ht="15.75" customHeight="1">
      <c r="E96" s="7"/>
      <c r="F96" s="8"/>
      <c r="G96" s="8"/>
    </row>
    <row r="97" ht="15.75" customHeight="1">
      <c r="E97" s="7"/>
      <c r="F97" s="8"/>
      <c r="G97" s="8"/>
    </row>
    <row r="98" ht="15.75" customHeight="1">
      <c r="E98" s="7"/>
      <c r="F98" s="8"/>
      <c r="G98" s="8"/>
    </row>
    <row r="99" ht="15.75" customHeight="1">
      <c r="E99" s="7"/>
      <c r="F99" s="8"/>
      <c r="G99" s="8"/>
    </row>
    <row r="100" ht="15.75" customHeight="1">
      <c r="E100" s="7"/>
      <c r="F100" s="8"/>
      <c r="G100" s="8"/>
    </row>
    <row r="101" ht="15.75" customHeight="1">
      <c r="E101" s="7"/>
      <c r="F101" s="8"/>
      <c r="G101" s="8"/>
    </row>
    <row r="102" ht="15.75" customHeight="1">
      <c r="E102" s="7"/>
      <c r="F102" s="8"/>
      <c r="G102" s="8"/>
    </row>
    <row r="103" ht="15.75" customHeight="1">
      <c r="E103" s="7"/>
      <c r="F103" s="8"/>
      <c r="G103" s="8"/>
    </row>
    <row r="104" ht="15.75" customHeight="1">
      <c r="E104" s="7"/>
      <c r="F104" s="8"/>
      <c r="G104" s="8"/>
    </row>
    <row r="105" ht="15.75" customHeight="1">
      <c r="E105" s="7"/>
      <c r="F105" s="8"/>
      <c r="G105" s="8"/>
    </row>
    <row r="106" ht="15.75" customHeight="1">
      <c r="E106" s="7"/>
      <c r="F106" s="8"/>
      <c r="G106" s="8"/>
    </row>
    <row r="107" ht="15.75" customHeight="1">
      <c r="E107" s="2"/>
      <c r="Y107" s="2"/>
      <c r="AD107" s="2"/>
      <c r="AI107" s="2"/>
      <c r="AN107" s="2"/>
      <c r="AS107" s="2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E5:E7"/>
    <mergeCell ref="F5:F7"/>
    <mergeCell ref="G5:G7"/>
    <mergeCell ref="J5:J7"/>
    <mergeCell ref="K5:K7"/>
    <mergeCell ref="L5:L7"/>
    <mergeCell ref="O5:O7"/>
    <mergeCell ref="P5:P7"/>
    <mergeCell ref="Q5:Q7"/>
    <mergeCell ref="T5:T7"/>
    <mergeCell ref="U5:U7"/>
    <mergeCell ref="V5:V7"/>
    <mergeCell ref="Y5:Y7"/>
    <mergeCell ref="Z5:Z7"/>
    <mergeCell ref="AA5:AA7"/>
    <mergeCell ref="AD5:AD7"/>
    <mergeCell ref="AE5:AE7"/>
    <mergeCell ref="AF5:AF7"/>
    <mergeCell ref="AI5:AI7"/>
    <mergeCell ref="AJ5:AJ7"/>
    <mergeCell ref="AK5:AK7"/>
    <mergeCell ref="AY5:AY7"/>
    <mergeCell ref="AZ5:AZ7"/>
    <mergeCell ref="AN5:AN7"/>
    <mergeCell ref="AO5:AO7"/>
    <mergeCell ref="AP5:AP7"/>
    <mergeCell ref="AS5:AS7"/>
    <mergeCell ref="AT5:AT7"/>
    <mergeCell ref="AU5:AU7"/>
    <mergeCell ref="AX5:AX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2025-02-03T04:58:38Z</dcterms:created>
  <dc:creator>tiya tiya</dc:creator>
</cp:coreProperties>
</file>